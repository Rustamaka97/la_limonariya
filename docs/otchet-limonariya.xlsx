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сяц" sheetId="1" r:id="rId5"/>
    <sheet state="visible" name="Обвалка" sheetId="2" r:id="rId6"/>
    <sheet state="visible" name="Шашлык" sheetId="3" r:id="rId7"/>
    <sheet state="visible" name="Sheet5" sheetId="4" r:id="rId8"/>
    <sheet state="visible" name="Sheet7" sheetId="5" r:id="rId9"/>
  </sheets>
  <definedNames/>
  <calcPr/>
</workbook>
</file>

<file path=xl/sharedStrings.xml><?xml version="1.0" encoding="utf-8"?>
<sst xmlns="http://schemas.openxmlformats.org/spreadsheetml/2006/main" count="255" uniqueCount="80">
  <si>
    <t>№</t>
  </si>
  <si>
    <t>Блюдо</t>
  </si>
  <si>
    <t>Единица измерения</t>
  </si>
  <si>
    <t>Приход</t>
  </si>
  <si>
    <t>Продажа</t>
  </si>
  <si>
    <t>Остаток на конец дня</t>
  </si>
  <si>
    <t>Илик суяк</t>
  </si>
  <si>
    <t>кг</t>
  </si>
  <si>
    <t>Шапок</t>
  </si>
  <si>
    <t>Фарш</t>
  </si>
  <si>
    <t>Думба</t>
  </si>
  <si>
    <t>Чарви-г</t>
  </si>
  <si>
    <t>Мол-кусковой</t>
  </si>
  <si>
    <t>Жигар</t>
  </si>
  <si>
    <t>Бон-филе</t>
  </si>
  <si>
    <t>Вағора</t>
  </si>
  <si>
    <t>Филе-жиз</t>
  </si>
  <si>
    <t>Қазон кобоб п-ф</t>
  </si>
  <si>
    <t>Гушт лахим</t>
  </si>
  <si>
    <t>Мастава п-ф</t>
  </si>
  <si>
    <t>порция</t>
  </si>
  <si>
    <t>3 кг</t>
  </si>
  <si>
    <t>Тушонка п-ф</t>
  </si>
  <si>
    <t>Шашлик қўй</t>
  </si>
  <si>
    <t>Корейка</t>
  </si>
  <si>
    <t>Марварид сих</t>
  </si>
  <si>
    <t>Куй гушт шашлык сих</t>
  </si>
  <si>
    <t>Қазон кобоб</t>
  </si>
  <si>
    <t>Фели жиз</t>
  </si>
  <si>
    <t>Шашлик мол</t>
  </si>
  <si>
    <t>Мастава</t>
  </si>
  <si>
    <t>Марварид</t>
  </si>
  <si>
    <t>Буглама</t>
  </si>
  <si>
    <t>от Казон кабоб</t>
  </si>
  <si>
    <t>Маруф</t>
  </si>
  <si>
    <t>Мясо (кг)</t>
  </si>
  <si>
    <t>Коэф</t>
  </si>
  <si>
    <t>Порция</t>
  </si>
  <si>
    <t>Цена</t>
  </si>
  <si>
    <t>Сумма</t>
  </si>
  <si>
    <t>Говядина</t>
  </si>
  <si>
    <t>Лахм</t>
  </si>
  <si>
    <t>Жиз Умакай</t>
  </si>
  <si>
    <t>Казон Кабоб</t>
  </si>
  <si>
    <t>Тушонка</t>
  </si>
  <si>
    <t>Филе</t>
  </si>
  <si>
    <t>Шашлык</t>
  </si>
  <si>
    <t>Бикин суяк</t>
  </si>
  <si>
    <t>Брак</t>
  </si>
  <si>
    <t>Чарви</t>
  </si>
  <si>
    <t>Мусор</t>
  </si>
  <si>
    <t>Общий</t>
  </si>
  <si>
    <t>Сухроб</t>
  </si>
  <si>
    <t>Баранина</t>
  </si>
  <si>
    <t>Вагора</t>
  </si>
  <si>
    <t>Буйин</t>
  </si>
  <si>
    <t>Лопатка</t>
  </si>
  <si>
    <t>Думма</t>
  </si>
  <si>
    <t>Мясо</t>
  </si>
  <si>
    <t>Маринованное мясо</t>
  </si>
  <si>
    <t>Штук</t>
  </si>
  <si>
    <t>Кусковой</t>
  </si>
  <si>
    <t>Говядина фарш</t>
  </si>
  <si>
    <t>Кусковой говядина</t>
  </si>
  <si>
    <t>Кусковой баранина</t>
  </si>
  <si>
    <t>Помидор</t>
  </si>
  <si>
    <t>Бахор</t>
  </si>
  <si>
    <t>Афгонча жиз</t>
  </si>
  <si>
    <t>Жиз +30%</t>
  </si>
  <si>
    <t>Жиз филе</t>
  </si>
  <si>
    <t>Сарйогли жиз</t>
  </si>
  <si>
    <t>Уйгурча жиз</t>
  </si>
  <si>
    <t>Уйгурча лагмон</t>
  </si>
  <si>
    <t>Куртоба</t>
  </si>
  <si>
    <t>Казон кабоб</t>
  </si>
  <si>
    <t>1 кг</t>
  </si>
  <si>
    <t>Лук</t>
  </si>
  <si>
    <t>Соль</t>
  </si>
  <si>
    <t>Корин чарви</t>
  </si>
  <si>
    <t>Буйин гушт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</si>
</sst>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21">
    <font>
      <sz val="10.0"/>
      <color rgb="FF000000"/>
      <name val="Arial"/>
      <scheme val="minor"/>
    </font>
    <font>
      <b/>
      <sz val="12.0"/>
      <color theme="1"/>
      <name val="&quot;Arial Cyr&quot;"/>
    </font>
    <font>
      <b/>
      <sz val="12.0"/>
      <color theme="1"/>
      <name val="Arial"/>
    </font>
    <font>
      <b/>
      <sz val="13.0"/>
      <color theme="1"/>
      <name val="Arial"/>
    </font>
    <font/>
    <font>
      <b/>
      <sz val="12.0"/>
      <color rgb="FF1F497D"/>
      <name val="Arial"/>
    </font>
    <font>
      <b/>
      <sz val="12.0"/>
      <color rgb="FFFF0000"/>
      <name val="Arial"/>
    </font>
    <font>
      <sz val="12.0"/>
      <color theme="1"/>
      <name val="Arial"/>
    </font>
    <font>
      <sz val="12.0"/>
      <color rgb="FF1F497D"/>
      <name val="&quot;Arial Cyr&quot;"/>
    </font>
    <font>
      <sz val="12.0"/>
      <color rgb="FFFF0000"/>
      <name val="&quot;Arial Cyr&quot;"/>
    </font>
    <font>
      <sz val="12.0"/>
      <color theme="1"/>
      <name val="&quot;Arial Cyr&quot;"/>
    </font>
    <font>
      <sz val="12.0"/>
      <color rgb="FFFF0000"/>
      <name val="Arial"/>
    </font>
    <font>
      <sz val="12.0"/>
      <color rgb="FF1F497D"/>
      <name val="Arial"/>
    </font>
    <font>
      <b/>
      <sz val="12.0"/>
      <color rgb="FF0000FF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theme="1"/>
      <name val="&quot;Arial Cyr&quot;"/>
    </font>
    <font>
      <b/>
      <sz val="12.0"/>
      <color rgb="FF0000FF"/>
      <name val="&quot;Arial Cyr&quot;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4FAFF"/>
        <bgColor rgb="FFB4FA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3" fillId="0" fontId="4" numFmtId="0" xfId="0" applyBorder="1" applyFont="1"/>
    <xf borderId="7" fillId="2" fontId="5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3" fillId="0" fontId="2" numFmtId="4" xfId="0" applyAlignment="1" applyBorder="1" applyFont="1" applyNumberFormat="1">
      <alignment horizontal="center" readingOrder="0" shrinkToFit="0" vertical="bottom" wrapText="0"/>
    </xf>
    <xf borderId="3" fillId="3" fontId="7" numFmtId="4" xfId="0" applyAlignment="1" applyBorder="1" applyFill="1" applyFont="1" applyNumberFormat="1">
      <alignment horizontal="center" readingOrder="0" shrinkToFit="0" vertical="center" wrapText="0"/>
    </xf>
    <xf borderId="7" fillId="0" fontId="8" numFmtId="4" xfId="0" applyAlignment="1" applyBorder="1" applyFont="1" applyNumberFormat="1">
      <alignment horizontal="center" readingOrder="0" shrinkToFit="0" vertical="center" wrapText="0"/>
    </xf>
    <xf borderId="7" fillId="0" fontId="9" numFmtId="4" xfId="0" applyAlignment="1" applyBorder="1" applyFont="1" applyNumberFormat="1">
      <alignment horizontal="center" readingOrder="0" shrinkToFit="0" vertical="center" wrapText="0"/>
    </xf>
    <xf borderId="8" fillId="4" fontId="10" numFmtId="4" xfId="0" applyAlignment="1" applyBorder="1" applyFill="1" applyFont="1" applyNumberFormat="1">
      <alignment horizontal="center" readingOrder="0" shrinkToFit="0" vertical="center" wrapText="0"/>
    </xf>
    <xf borderId="7" fillId="0" fontId="8" numFmtId="4" xfId="0" applyAlignment="1" applyBorder="1" applyFont="1" applyNumberFormat="1">
      <alignment horizontal="center" readingOrder="0" shrinkToFit="0" vertical="bottom" wrapText="0"/>
    </xf>
    <xf borderId="7" fillId="0" fontId="9" numFmtId="4" xfId="0" applyAlignment="1" applyBorder="1" applyFont="1" applyNumberFormat="1">
      <alignment readingOrder="0" shrinkToFit="0" vertical="bottom" wrapText="0"/>
    </xf>
    <xf borderId="8" fillId="4" fontId="10" numFmtId="4" xfId="0" applyAlignment="1" applyBorder="1" applyFont="1" applyNumberFormat="1">
      <alignment readingOrder="0" shrinkToFit="0" vertical="bottom" wrapText="0"/>
    </xf>
    <xf borderId="7" fillId="0" fontId="9" numFmtId="4" xfId="0" applyAlignment="1" applyBorder="1" applyFont="1" applyNumberForma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1" numFmtId="4" xfId="0" applyAlignment="1" applyBorder="1" applyFont="1" applyNumberFormat="1">
      <alignment horizontal="center" readingOrder="0" shrinkToFit="0" vertical="center" wrapText="0"/>
    </xf>
    <xf borderId="7" fillId="0" fontId="6" numFmtId="0" xfId="0" applyAlignment="1" applyBorder="1" applyFont="1">
      <alignment readingOrder="0" shrinkToFit="0" vertical="bottom" wrapText="0"/>
    </xf>
    <xf borderId="3" fillId="0" fontId="2" numFmtId="4" xfId="0" applyAlignment="1" applyBorder="1" applyFont="1" applyNumberFormat="1">
      <alignment readingOrder="0" shrinkToFit="0" vertical="bottom" wrapText="0"/>
    </xf>
    <xf borderId="7" fillId="0" fontId="12" numFmtId="4" xfId="0" applyAlignment="1" applyBorder="1" applyFont="1" applyNumberFormat="1">
      <alignment horizontal="center" readingOrder="0" shrinkToFit="0" vertical="center" wrapText="0"/>
    </xf>
    <xf borderId="7" fillId="0" fontId="13" numFmtId="0" xfId="0" applyAlignment="1" applyBorder="1" applyFont="1">
      <alignment readingOrder="0"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3" fontId="7" numFmtId="4" xfId="0" applyAlignment="1" applyBorder="1" applyFont="1" applyNumberFormat="1">
      <alignment horizontal="center" readingOrder="0" shrinkToFit="0" vertical="center" wrapText="0"/>
    </xf>
    <xf borderId="7" fillId="4" fontId="10" numFmtId="4" xfId="0" applyAlignment="1" applyBorder="1" applyFont="1" applyNumberFormat="1">
      <alignment horizontal="center" readingOrder="0" shrinkToFit="0" vertical="center" wrapText="0"/>
    </xf>
    <xf borderId="7" fillId="4" fontId="10" numFmtId="4" xfId="0" applyAlignment="1" applyBorder="1" applyFont="1" applyNumberFormat="1">
      <alignment readingOrder="0" shrinkToFit="0" vertical="bottom" wrapText="0"/>
    </xf>
    <xf borderId="7" fillId="3" fontId="10" numFmtId="4" xfId="0" applyAlignment="1" applyBorder="1" applyFont="1" applyNumberFormat="1">
      <alignment horizontal="center" shrinkToFit="0" vertical="center" wrapText="0"/>
    </xf>
    <xf borderId="7" fillId="3" fontId="10" numFmtId="4" xfId="0" applyAlignment="1" applyBorder="1" applyFont="1" applyNumberFormat="1">
      <alignment horizontal="center" readingOrder="0" shrinkToFit="0" vertical="center" wrapText="0"/>
    </xf>
    <xf borderId="7" fillId="0" fontId="9" numFmtId="4" xfId="0" applyAlignment="1" applyBorder="1" applyFont="1" applyNumberFormat="1">
      <alignment horizontal="center" shrinkToFit="0" vertical="center" wrapText="0"/>
    </xf>
    <xf borderId="7" fillId="4" fontId="7" numFmtId="4" xfId="0" applyAlignment="1" applyBorder="1" applyFont="1" applyNumberFormat="1">
      <alignment horizontal="center" readingOrder="0" shrinkToFit="0" vertical="center" wrapText="0"/>
    </xf>
    <xf borderId="7" fillId="0" fontId="2" numFmtId="4" xfId="0" applyAlignment="1" applyBorder="1" applyFont="1" applyNumberFormat="1">
      <alignment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7" fillId="0" fontId="10" numFmtId="4" xfId="0" applyAlignment="1" applyBorder="1" applyFont="1" applyNumberFormat="1">
      <alignment shrinkToFit="0" vertical="bottom" wrapText="0"/>
    </xf>
    <xf borderId="7" fillId="0" fontId="10" numFmtId="4" xfId="0" applyAlignment="1" applyBorder="1" applyFont="1" applyNumberFormat="1">
      <alignment horizontal="center" readingOrder="0" shrinkToFit="0" vertical="center" wrapText="0"/>
    </xf>
    <xf borderId="7" fillId="0" fontId="10" numFmtId="4" xfId="0" applyAlignment="1" applyBorder="1" applyFont="1" applyNumberFormat="1">
      <alignment readingOrder="0" shrinkToFit="0" vertical="bottom" wrapText="0"/>
    </xf>
    <xf borderId="0" fillId="0" fontId="14" numFmtId="0" xfId="0" applyAlignment="1" applyFont="1">
      <alignment horizontal="center" vertical="center"/>
    </xf>
    <xf borderId="4" fillId="4" fontId="15" numFmtId="0" xfId="0" applyAlignment="1" applyBorder="1" applyFont="1">
      <alignment horizontal="center" readingOrder="0" shrinkToFit="0" vertical="center" wrapText="0"/>
    </xf>
    <xf borderId="4" fillId="4" fontId="15" numFmtId="164" xfId="0" applyAlignment="1" applyBorder="1" applyFont="1" applyNumberFormat="1">
      <alignment horizontal="center" readingOrder="0" shrinkToFit="0" vertical="center" wrapText="0"/>
    </xf>
    <xf borderId="7" fillId="4" fontId="16" numFmtId="0" xfId="0" applyAlignment="1" applyBorder="1" applyFont="1">
      <alignment horizontal="center" readingOrder="0" shrinkToFit="0" vertical="center" wrapText="0"/>
    </xf>
    <xf borderId="7" fillId="4" fontId="15" numFmtId="0" xfId="0" applyAlignment="1" applyBorder="1" applyFont="1">
      <alignment horizontal="center" readingOrder="0" shrinkToFit="0" vertical="center" wrapText="0"/>
    </xf>
    <xf borderId="7" fillId="4" fontId="2" numFmtId="0" xfId="0" applyAlignment="1" applyBorder="1" applyFont="1">
      <alignment horizontal="center" readingOrder="0" shrinkToFit="0" vertical="center" wrapText="0"/>
    </xf>
    <xf borderId="7" fillId="0" fontId="2" numFmtId="4" xfId="0" applyAlignment="1" applyBorder="1" applyFont="1" applyNumberFormat="1">
      <alignment horizontal="center" readingOrder="0" shrinkToFit="0" vertical="center" wrapText="0"/>
    </xf>
    <xf borderId="7" fillId="5" fontId="1" numFmtId="4" xfId="0" applyAlignment="1" applyBorder="1" applyFill="1" applyFont="1" applyNumberFormat="1">
      <alignment horizontal="center" readingOrder="0" shrinkToFit="0" vertical="center" wrapText="0"/>
    </xf>
    <xf borderId="7" fillId="0" fontId="1" numFmtId="4" xfId="0" applyAlignment="1" applyBorder="1" applyFont="1" applyNumberFormat="1">
      <alignment horizontal="center"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7" fillId="0" fontId="7" numFmtId="4" xfId="0" applyAlignment="1" applyBorder="1" applyFont="1" applyNumberFormat="1">
      <alignment horizontal="center" readingOrder="0" shrinkToFit="0" vertical="center" wrapText="0"/>
    </xf>
    <xf borderId="7" fillId="5" fontId="7" numFmtId="4" xfId="0" applyAlignment="1" applyBorder="1" applyFont="1" applyNumberFormat="1">
      <alignment horizontal="center" readingOrder="0" shrinkToFit="0" vertical="center" wrapText="0"/>
    </xf>
    <xf borderId="7" fillId="0" fontId="10" numFmtId="4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horizontal="right" readingOrder="0" shrinkToFit="0" vertical="center" wrapText="0"/>
    </xf>
    <xf borderId="7" fillId="5" fontId="10" numFmtId="4" xfId="0" applyAlignment="1" applyBorder="1" applyFont="1" applyNumberFormat="1">
      <alignment horizontal="center" readingOrder="0" shrinkToFit="0" vertical="center" wrapText="0"/>
    </xf>
    <xf borderId="7" fillId="5" fontId="10" numFmtId="4" xfId="0" applyAlignment="1" applyBorder="1" applyFont="1" applyNumberFormat="1">
      <alignment horizontal="center" shrinkToFit="0" vertical="center" wrapText="0"/>
    </xf>
    <xf borderId="7" fillId="0" fontId="10" numFmtId="4" xfId="0" applyAlignment="1" applyBorder="1" applyFont="1" applyNumberFormat="1">
      <alignment horizontal="center" shrinkToFit="0" vertical="bottom" wrapText="0"/>
    </xf>
    <xf borderId="7" fillId="6" fontId="2" numFmtId="0" xfId="0" applyAlignment="1" applyBorder="1" applyFill="1" applyFont="1">
      <alignment horizontal="right" readingOrder="0" shrinkToFit="0" vertical="center" wrapText="0"/>
    </xf>
    <xf borderId="7" fillId="0" fontId="1" numFmtId="4" xfId="0" applyAlignment="1" applyBorder="1" applyFont="1" applyNumberFormat="1">
      <alignment horizontal="center" shrinkToFit="0" vertical="center" wrapText="0"/>
    </xf>
    <xf borderId="7" fillId="0" fontId="17" numFmtId="4" xfId="0" applyAlignment="1" applyBorder="1" applyFont="1" applyNumberFormat="1">
      <alignment horizontal="center" shrinkToFit="0" vertical="center" wrapText="0"/>
    </xf>
    <xf borderId="4" fillId="7" fontId="15" numFmtId="0" xfId="0" applyAlignment="1" applyBorder="1" applyFill="1" applyFont="1">
      <alignment horizontal="center" readingOrder="0" shrinkToFit="0" vertical="center" wrapText="0"/>
    </xf>
    <xf borderId="4" fillId="7" fontId="15" numFmtId="164" xfId="0" applyAlignment="1" applyBorder="1" applyFont="1" applyNumberFormat="1">
      <alignment horizontal="center" readingOrder="0" shrinkToFit="0" vertical="center" wrapText="0"/>
    </xf>
    <xf borderId="7" fillId="7" fontId="16" numFmtId="0" xfId="0" applyAlignment="1" applyBorder="1" applyFont="1">
      <alignment horizontal="center" readingOrder="0" shrinkToFit="0" vertical="center" wrapText="0"/>
    </xf>
    <xf borderId="7" fillId="7" fontId="15" numFmtId="0" xfId="0" applyAlignment="1" applyBorder="1" applyFont="1">
      <alignment horizontal="center" readingOrder="0" shrinkToFit="0" vertical="center" wrapText="0"/>
    </xf>
    <xf borderId="7" fillId="7" fontId="2" numFmtId="0" xfId="0" applyAlignment="1" applyBorder="1" applyFont="1">
      <alignment horizontal="center" readingOrder="0" shrinkToFit="0" vertical="center" wrapText="0"/>
    </xf>
    <xf borderId="0" fillId="0" fontId="14" numFmtId="2" xfId="0" applyFont="1" applyNumberFormat="1"/>
    <xf borderId="7" fillId="0" fontId="18" numFmtId="0" xfId="0" applyAlignment="1" applyBorder="1" applyFont="1">
      <alignment horizontal="center" vertical="center"/>
    </xf>
    <xf borderId="7" fillId="8" fontId="18" numFmtId="0" xfId="0" applyAlignment="1" applyBorder="1" applyFill="1" applyFont="1">
      <alignment horizontal="center" readingOrder="0" vertical="center"/>
    </xf>
    <xf borderId="7" fillId="7" fontId="18" numFmtId="0" xfId="0" applyAlignment="1" applyBorder="1" applyFont="1">
      <alignment horizontal="center" readingOrder="0" vertical="center"/>
    </xf>
    <xf borderId="7" fillId="4" fontId="1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 vertical="center"/>
    </xf>
    <xf borderId="7" fillId="0" fontId="18" numFmtId="2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center" vertical="center"/>
    </xf>
    <xf borderId="7" fillId="0" fontId="18" numFmtId="2" xfId="0" applyAlignment="1" applyBorder="1" applyFont="1" applyNumberFormat="1">
      <alignment horizontal="center" vertical="center"/>
    </xf>
    <xf borderId="0" fillId="0" fontId="19" numFmtId="0" xfId="0" applyAlignment="1" applyFont="1">
      <alignment readingOrder="0"/>
    </xf>
    <xf borderId="0" fillId="0" fontId="20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3" fontId="7" numFmtId="4" xfId="0" applyAlignment="1" applyFont="1" applyNumberFormat="1">
      <alignment horizontal="center" readingOrder="0" shrinkToFit="0" vertical="center" wrapText="0"/>
    </xf>
    <xf borderId="0" fillId="0" fontId="20" numFmtId="0" xfId="0" applyAlignment="1" applyFont="1">
      <alignment readingOrder="0"/>
    </xf>
    <xf borderId="0" fillId="0" fontId="20" numFmtId="2" xfId="0" applyFont="1" applyNumberFormat="1"/>
    <xf borderId="7" fillId="0" fontId="18" numFmtId="9" xfId="0" applyAlignment="1" applyBorder="1" applyFont="1" applyNumberFormat="1">
      <alignment horizontal="center" readingOrder="0" vertical="center"/>
    </xf>
    <xf borderId="7" fillId="0" fontId="18" numFmtId="1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25"/>
    <col customWidth="1" min="3" max="3" width="15.88"/>
    <col customWidth="1" min="4" max="4" width="12.5"/>
    <col customWidth="1" min="7" max="7" width="16.75"/>
  </cols>
  <sheetData>
    <row r="1" ht="33.75" customHeight="1">
      <c r="A1" s="1" t="s">
        <v>0</v>
      </c>
      <c r="B1" s="2" t="s">
        <v>1</v>
      </c>
      <c r="C1" s="3" t="s">
        <v>2</v>
      </c>
      <c r="D1" s="4"/>
      <c r="E1" s="5">
        <v>46170.0</v>
      </c>
      <c r="F1" s="6"/>
      <c r="G1" s="7"/>
      <c r="H1" s="5">
        <v>46171.0</v>
      </c>
      <c r="I1" s="6"/>
      <c r="J1" s="6"/>
      <c r="K1" s="7"/>
      <c r="L1" s="5">
        <v>46172.0</v>
      </c>
      <c r="M1" s="6"/>
      <c r="N1" s="6"/>
      <c r="O1" s="7"/>
      <c r="Q1" s="5">
        <v>46147.0</v>
      </c>
      <c r="R1" s="6"/>
      <c r="S1" s="7"/>
      <c r="T1" s="5">
        <v>46148.0</v>
      </c>
      <c r="U1" s="6"/>
      <c r="V1" s="7"/>
      <c r="W1" s="5">
        <v>46149.0</v>
      </c>
      <c r="X1" s="6"/>
      <c r="Y1" s="7"/>
      <c r="Z1" s="5">
        <v>46150.0</v>
      </c>
      <c r="AA1" s="6"/>
      <c r="AB1" s="7"/>
      <c r="AC1" s="5">
        <v>46151.0</v>
      </c>
      <c r="AD1" s="6"/>
      <c r="AE1" s="7"/>
      <c r="AF1" s="5">
        <v>46152.0</v>
      </c>
      <c r="AG1" s="6"/>
      <c r="AH1" s="7"/>
      <c r="AI1" s="5">
        <v>46153.0</v>
      </c>
      <c r="AJ1" s="6"/>
      <c r="AK1" s="7"/>
      <c r="AL1" s="5">
        <v>46154.0</v>
      </c>
      <c r="AM1" s="6"/>
      <c r="AN1" s="7"/>
      <c r="AO1" s="5">
        <v>46155.0</v>
      </c>
      <c r="AP1" s="6"/>
      <c r="AQ1" s="7"/>
      <c r="AR1" s="5">
        <v>46156.0</v>
      </c>
      <c r="AS1" s="6"/>
      <c r="AT1" s="7"/>
      <c r="AU1" s="5">
        <v>46157.0</v>
      </c>
      <c r="AV1" s="6"/>
      <c r="AW1" s="7"/>
      <c r="AX1" s="5">
        <v>46158.0</v>
      </c>
      <c r="AY1" s="6"/>
      <c r="AZ1" s="7"/>
      <c r="BA1" s="5">
        <v>46159.0</v>
      </c>
      <c r="BB1" s="6"/>
      <c r="BC1" s="7"/>
      <c r="BD1" s="5">
        <v>46160.0</v>
      </c>
      <c r="BE1" s="6"/>
      <c r="BF1" s="7"/>
      <c r="BG1" s="5">
        <v>46161.0</v>
      </c>
      <c r="BH1" s="6"/>
      <c r="BI1" s="7"/>
      <c r="BJ1" s="5">
        <v>46162.0</v>
      </c>
      <c r="BK1" s="6"/>
      <c r="BL1" s="7"/>
      <c r="BM1" s="5">
        <v>46163.0</v>
      </c>
      <c r="BN1" s="6"/>
      <c r="BO1" s="7"/>
      <c r="BP1" s="5">
        <v>46164.0</v>
      </c>
      <c r="BQ1" s="6"/>
      <c r="BR1" s="7"/>
      <c r="BS1" s="5">
        <v>46165.0</v>
      </c>
      <c r="BT1" s="6"/>
      <c r="BU1" s="7"/>
      <c r="BV1" s="5">
        <v>46166.0</v>
      </c>
      <c r="BW1" s="6"/>
      <c r="BX1" s="7"/>
      <c r="BY1" s="5">
        <v>46167.0</v>
      </c>
      <c r="BZ1" s="6"/>
      <c r="CA1" s="7"/>
      <c r="CB1" s="5">
        <v>46168.0</v>
      </c>
      <c r="CC1" s="6"/>
      <c r="CD1" s="7"/>
      <c r="CE1" s="5">
        <v>46169.0</v>
      </c>
      <c r="CF1" s="6"/>
      <c r="CG1" s="7"/>
      <c r="CH1" s="5">
        <v>46170.0</v>
      </c>
      <c r="CI1" s="6"/>
      <c r="CJ1" s="7"/>
      <c r="CK1" s="5">
        <v>46171.0</v>
      </c>
      <c r="CL1" s="6"/>
      <c r="CM1" s="7"/>
      <c r="CN1" s="5">
        <v>46172.0</v>
      </c>
      <c r="CO1" s="6"/>
      <c r="CP1" s="7"/>
      <c r="CQ1" s="5">
        <v>46173.0</v>
      </c>
      <c r="CR1" s="6"/>
      <c r="CS1" s="7"/>
      <c r="CT1" s="5">
        <v>46174.0</v>
      </c>
      <c r="CU1" s="7"/>
    </row>
    <row r="2" ht="33.75" customHeight="1">
      <c r="A2" s="8"/>
      <c r="B2" s="8"/>
      <c r="C2" s="8"/>
      <c r="D2" s="4"/>
      <c r="E2" s="9" t="s">
        <v>3</v>
      </c>
      <c r="F2" s="10" t="s">
        <v>4</v>
      </c>
      <c r="G2" s="11" t="s">
        <v>5</v>
      </c>
      <c r="H2" s="9" t="s">
        <v>3</v>
      </c>
      <c r="I2" s="10" t="s">
        <v>4</v>
      </c>
      <c r="J2" s="10" t="s">
        <v>4</v>
      </c>
      <c r="K2" s="11" t="s">
        <v>5</v>
      </c>
      <c r="L2" s="9" t="s">
        <v>3</v>
      </c>
      <c r="M2" s="10" t="s">
        <v>4</v>
      </c>
      <c r="N2" s="10" t="s">
        <v>4</v>
      </c>
      <c r="O2" s="10" t="s">
        <v>4</v>
      </c>
      <c r="P2" s="11" t="s">
        <v>5</v>
      </c>
      <c r="Q2" s="9" t="s">
        <v>3</v>
      </c>
      <c r="R2" s="10" t="s">
        <v>4</v>
      </c>
      <c r="S2" s="11" t="s">
        <v>5</v>
      </c>
      <c r="T2" s="9" t="s">
        <v>3</v>
      </c>
      <c r="U2" s="10" t="s">
        <v>4</v>
      </c>
      <c r="V2" s="11" t="s">
        <v>5</v>
      </c>
      <c r="W2" s="9" t="s">
        <v>3</v>
      </c>
      <c r="X2" s="10" t="s">
        <v>4</v>
      </c>
      <c r="Y2" s="11" t="s">
        <v>5</v>
      </c>
      <c r="Z2" s="9" t="s">
        <v>3</v>
      </c>
      <c r="AA2" s="10" t="s">
        <v>4</v>
      </c>
      <c r="AB2" s="11" t="s">
        <v>5</v>
      </c>
      <c r="AC2" s="9" t="s">
        <v>3</v>
      </c>
      <c r="AD2" s="10" t="s">
        <v>4</v>
      </c>
      <c r="AE2" s="11" t="s">
        <v>5</v>
      </c>
      <c r="AF2" s="9" t="s">
        <v>3</v>
      </c>
      <c r="AG2" s="10" t="s">
        <v>4</v>
      </c>
      <c r="AH2" s="11" t="s">
        <v>5</v>
      </c>
      <c r="AI2" s="9" t="s">
        <v>3</v>
      </c>
      <c r="AJ2" s="10" t="s">
        <v>4</v>
      </c>
      <c r="AK2" s="11" t="s">
        <v>5</v>
      </c>
      <c r="AL2" s="9" t="s">
        <v>3</v>
      </c>
      <c r="AM2" s="10" t="s">
        <v>4</v>
      </c>
      <c r="AN2" s="11" t="s">
        <v>5</v>
      </c>
      <c r="AO2" s="9" t="s">
        <v>3</v>
      </c>
      <c r="AP2" s="10" t="s">
        <v>4</v>
      </c>
      <c r="AQ2" s="11" t="s">
        <v>5</v>
      </c>
      <c r="AR2" s="9" t="s">
        <v>3</v>
      </c>
      <c r="AS2" s="10" t="s">
        <v>4</v>
      </c>
      <c r="AT2" s="11" t="s">
        <v>5</v>
      </c>
      <c r="AU2" s="9" t="s">
        <v>3</v>
      </c>
      <c r="AV2" s="10" t="s">
        <v>4</v>
      </c>
      <c r="AW2" s="11" t="s">
        <v>5</v>
      </c>
      <c r="AX2" s="9" t="s">
        <v>3</v>
      </c>
      <c r="AY2" s="10" t="s">
        <v>4</v>
      </c>
      <c r="AZ2" s="11" t="s">
        <v>5</v>
      </c>
      <c r="BA2" s="9" t="s">
        <v>3</v>
      </c>
      <c r="BB2" s="10" t="s">
        <v>4</v>
      </c>
      <c r="BC2" s="11" t="s">
        <v>5</v>
      </c>
      <c r="BD2" s="9" t="s">
        <v>3</v>
      </c>
      <c r="BE2" s="10" t="s">
        <v>4</v>
      </c>
      <c r="BF2" s="11" t="s">
        <v>5</v>
      </c>
      <c r="BG2" s="9" t="s">
        <v>3</v>
      </c>
      <c r="BH2" s="10" t="s">
        <v>4</v>
      </c>
      <c r="BI2" s="11" t="s">
        <v>5</v>
      </c>
      <c r="BJ2" s="9" t="s">
        <v>3</v>
      </c>
      <c r="BK2" s="10" t="s">
        <v>4</v>
      </c>
      <c r="BL2" s="11" t="s">
        <v>5</v>
      </c>
      <c r="BM2" s="9" t="s">
        <v>3</v>
      </c>
      <c r="BN2" s="10" t="s">
        <v>4</v>
      </c>
      <c r="BO2" s="11" t="s">
        <v>5</v>
      </c>
      <c r="BP2" s="9" t="s">
        <v>3</v>
      </c>
      <c r="BQ2" s="10" t="s">
        <v>4</v>
      </c>
      <c r="BR2" s="11" t="s">
        <v>5</v>
      </c>
      <c r="BS2" s="9" t="s">
        <v>3</v>
      </c>
      <c r="BT2" s="10" t="s">
        <v>4</v>
      </c>
      <c r="BU2" s="11" t="s">
        <v>5</v>
      </c>
      <c r="BV2" s="9" t="s">
        <v>3</v>
      </c>
      <c r="BW2" s="10" t="s">
        <v>4</v>
      </c>
      <c r="BX2" s="11" t="s">
        <v>5</v>
      </c>
      <c r="BY2" s="9" t="s">
        <v>3</v>
      </c>
      <c r="BZ2" s="10" t="s">
        <v>4</v>
      </c>
      <c r="CA2" s="11" t="s">
        <v>5</v>
      </c>
      <c r="CB2" s="9" t="s">
        <v>3</v>
      </c>
      <c r="CC2" s="10" t="s">
        <v>4</v>
      </c>
      <c r="CD2" s="11" t="s">
        <v>5</v>
      </c>
      <c r="CE2" s="9" t="s">
        <v>3</v>
      </c>
      <c r="CF2" s="10" t="s">
        <v>4</v>
      </c>
      <c r="CG2" s="11" t="s">
        <v>5</v>
      </c>
      <c r="CH2" s="9" t="s">
        <v>3</v>
      </c>
      <c r="CI2" s="10" t="s">
        <v>4</v>
      </c>
      <c r="CJ2" s="11" t="s">
        <v>5</v>
      </c>
      <c r="CK2" s="9" t="s">
        <v>3</v>
      </c>
      <c r="CL2" s="10" t="s">
        <v>4</v>
      </c>
      <c r="CM2" s="11" t="s">
        <v>5</v>
      </c>
      <c r="CN2" s="9" t="s">
        <v>3</v>
      </c>
      <c r="CO2" s="10" t="s">
        <v>4</v>
      </c>
      <c r="CP2" s="11" t="s">
        <v>5</v>
      </c>
      <c r="CQ2" s="9" t="s">
        <v>3</v>
      </c>
      <c r="CR2" s="10" t="s">
        <v>4</v>
      </c>
      <c r="CS2" s="11" t="s">
        <v>5</v>
      </c>
      <c r="CT2" s="9" t="s">
        <v>3</v>
      </c>
      <c r="CU2" s="10" t="s">
        <v>4</v>
      </c>
    </row>
    <row r="3" ht="19.5" customHeight="1">
      <c r="A3" s="12"/>
      <c r="B3" s="13" t="s">
        <v>6</v>
      </c>
      <c r="C3" s="14" t="s">
        <v>7</v>
      </c>
      <c r="D3" s="15">
        <v>36.0</v>
      </c>
      <c r="E3" s="16"/>
      <c r="F3" s="17"/>
      <c r="G3" s="18"/>
      <c r="H3" s="16"/>
      <c r="I3" s="17"/>
      <c r="J3" s="18"/>
      <c r="K3" s="16"/>
      <c r="L3" s="17"/>
      <c r="M3" s="18"/>
      <c r="N3" s="19"/>
      <c r="O3" s="20"/>
      <c r="P3" s="21"/>
      <c r="Q3" s="19"/>
      <c r="R3" s="20"/>
      <c r="S3" s="21"/>
      <c r="T3" s="19"/>
      <c r="U3" s="20"/>
      <c r="V3" s="21"/>
      <c r="W3" s="19"/>
      <c r="X3" s="20"/>
      <c r="Y3" s="21"/>
      <c r="Z3" s="19"/>
      <c r="AA3" s="22"/>
      <c r="AB3" s="21"/>
      <c r="AC3" s="19"/>
      <c r="AD3" s="22"/>
      <c r="AE3" s="21"/>
      <c r="AF3" s="19"/>
      <c r="AG3" s="22"/>
      <c r="AH3" s="21"/>
      <c r="AI3" s="19"/>
      <c r="AJ3" s="22"/>
      <c r="AK3" s="21"/>
      <c r="AL3" s="19"/>
      <c r="AM3" s="22"/>
      <c r="AN3" s="21"/>
      <c r="AO3" s="19"/>
      <c r="AP3" s="22"/>
      <c r="AQ3" s="21"/>
      <c r="AR3" s="19"/>
      <c r="AS3" s="22"/>
      <c r="AT3" s="21"/>
      <c r="AU3" s="19"/>
      <c r="AV3" s="22"/>
      <c r="AW3" s="21"/>
      <c r="AX3" s="19"/>
      <c r="AY3" s="22"/>
      <c r="AZ3" s="21"/>
      <c r="BA3" s="19"/>
      <c r="BB3" s="22"/>
      <c r="BC3" s="21"/>
      <c r="BD3" s="19"/>
      <c r="BE3" s="22"/>
      <c r="BF3" s="21"/>
      <c r="BG3" s="19"/>
      <c r="BH3" s="22"/>
      <c r="BI3" s="21"/>
      <c r="BJ3" s="19"/>
      <c r="BK3" s="22"/>
      <c r="BL3" s="21"/>
      <c r="BM3" s="19"/>
      <c r="BN3" s="22"/>
      <c r="BO3" s="21"/>
      <c r="BP3" s="19"/>
      <c r="BQ3" s="22"/>
      <c r="BR3" s="21"/>
      <c r="BS3" s="19"/>
      <c r="BT3" s="22"/>
      <c r="BU3" s="21"/>
      <c r="BV3" s="19"/>
      <c r="BW3" s="22"/>
      <c r="BX3" s="21"/>
      <c r="BY3" s="19"/>
      <c r="BZ3" s="22"/>
      <c r="CA3" s="21"/>
      <c r="CB3" s="19"/>
      <c r="CC3" s="22"/>
      <c r="CD3" s="21"/>
      <c r="CE3" s="19"/>
      <c r="CF3" s="22"/>
      <c r="CG3" s="21"/>
      <c r="CH3" s="19"/>
      <c r="CI3" s="22"/>
      <c r="CJ3" s="21"/>
      <c r="CK3" s="19"/>
      <c r="CL3" s="22"/>
      <c r="CM3" s="21"/>
      <c r="CN3" s="19"/>
      <c r="CO3" s="22"/>
      <c r="CP3" s="21"/>
      <c r="CQ3" s="19"/>
      <c r="CR3" s="22"/>
      <c r="CS3" s="21"/>
      <c r="CT3" s="19"/>
      <c r="CU3" s="19"/>
    </row>
    <row r="4" ht="19.5" customHeight="1">
      <c r="A4" s="12"/>
      <c r="B4" s="13" t="s">
        <v>8</v>
      </c>
      <c r="C4" s="14" t="s">
        <v>7</v>
      </c>
      <c r="D4" s="15">
        <f>48+6.1+4.9+1.3+19+6.5+13</f>
        <v>98.8</v>
      </c>
      <c r="E4" s="16"/>
      <c r="F4" s="17"/>
      <c r="G4" s="18"/>
      <c r="H4" s="16"/>
      <c r="I4" s="17"/>
      <c r="J4" s="18"/>
      <c r="K4" s="16"/>
      <c r="L4" s="17"/>
      <c r="M4" s="18"/>
      <c r="N4" s="19"/>
      <c r="O4" s="20"/>
      <c r="P4" s="21"/>
      <c r="Q4" s="19"/>
      <c r="R4" s="20"/>
      <c r="S4" s="21"/>
      <c r="T4" s="19"/>
      <c r="U4" s="20"/>
      <c r="V4" s="21"/>
      <c r="W4" s="19"/>
      <c r="X4" s="20"/>
      <c r="Y4" s="21"/>
      <c r="Z4" s="19"/>
      <c r="AA4" s="22"/>
      <c r="AB4" s="21"/>
      <c r="AC4" s="19"/>
      <c r="AD4" s="22"/>
      <c r="AE4" s="21"/>
      <c r="AF4" s="19"/>
      <c r="AG4" s="22"/>
      <c r="AH4" s="21"/>
      <c r="AI4" s="19"/>
      <c r="AJ4" s="22"/>
      <c r="AK4" s="21"/>
      <c r="AL4" s="19"/>
      <c r="AM4" s="22"/>
      <c r="AN4" s="21"/>
      <c r="AO4" s="19"/>
      <c r="AP4" s="22"/>
      <c r="AQ4" s="21"/>
      <c r="AR4" s="19"/>
      <c r="AS4" s="22"/>
      <c r="AT4" s="21"/>
      <c r="AU4" s="19"/>
      <c r="AV4" s="22"/>
      <c r="AW4" s="21"/>
      <c r="AX4" s="19"/>
      <c r="AY4" s="22"/>
      <c r="AZ4" s="21"/>
      <c r="BA4" s="19"/>
      <c r="BB4" s="22"/>
      <c r="BC4" s="21"/>
      <c r="BD4" s="19"/>
      <c r="BE4" s="22"/>
      <c r="BF4" s="21"/>
      <c r="BG4" s="19"/>
      <c r="BH4" s="22"/>
      <c r="BI4" s="21"/>
      <c r="BJ4" s="19"/>
      <c r="BK4" s="22"/>
      <c r="BL4" s="21"/>
      <c r="BM4" s="19"/>
      <c r="BN4" s="22"/>
      <c r="BO4" s="21"/>
      <c r="BP4" s="19"/>
      <c r="BQ4" s="22"/>
      <c r="BR4" s="21"/>
      <c r="BS4" s="19"/>
      <c r="BT4" s="22"/>
      <c r="BU4" s="21"/>
      <c r="BV4" s="19"/>
      <c r="BW4" s="22"/>
      <c r="BX4" s="21"/>
      <c r="BY4" s="19"/>
      <c r="BZ4" s="22"/>
      <c r="CA4" s="21"/>
      <c r="CB4" s="19"/>
      <c r="CC4" s="22"/>
      <c r="CD4" s="21"/>
      <c r="CE4" s="19"/>
      <c r="CF4" s="22"/>
      <c r="CG4" s="21"/>
      <c r="CH4" s="19"/>
      <c r="CI4" s="22"/>
      <c r="CJ4" s="21"/>
      <c r="CK4" s="19"/>
      <c r="CL4" s="22"/>
      <c r="CM4" s="21"/>
      <c r="CN4" s="19"/>
      <c r="CO4" s="22"/>
      <c r="CP4" s="21"/>
      <c r="CQ4" s="19"/>
      <c r="CR4" s="22"/>
      <c r="CS4" s="21"/>
      <c r="CT4" s="19"/>
      <c r="CU4" s="19"/>
    </row>
    <row r="5" ht="19.5" customHeight="1">
      <c r="A5" s="12"/>
      <c r="B5" s="13" t="s">
        <v>9</v>
      </c>
      <c r="C5" s="14" t="s">
        <v>7</v>
      </c>
      <c r="D5" s="15">
        <v>5.0</v>
      </c>
      <c r="E5" s="16"/>
      <c r="F5" s="17"/>
      <c r="G5" s="18"/>
      <c r="H5" s="16"/>
      <c r="I5" s="17"/>
      <c r="J5" s="18"/>
      <c r="K5" s="16"/>
      <c r="L5" s="17"/>
      <c r="M5" s="18"/>
      <c r="N5" s="19"/>
      <c r="O5" s="20"/>
      <c r="P5" s="21"/>
      <c r="Q5" s="19"/>
      <c r="R5" s="20"/>
      <c r="S5" s="21"/>
      <c r="T5" s="19"/>
      <c r="U5" s="20"/>
      <c r="V5" s="21"/>
      <c r="W5" s="19"/>
      <c r="X5" s="20"/>
      <c r="Y5" s="21"/>
      <c r="Z5" s="19"/>
      <c r="AA5" s="22"/>
      <c r="AB5" s="21"/>
      <c r="AC5" s="19"/>
      <c r="AD5" s="22"/>
      <c r="AE5" s="21"/>
      <c r="AF5" s="19"/>
      <c r="AG5" s="22"/>
      <c r="AH5" s="21"/>
      <c r="AI5" s="19"/>
      <c r="AJ5" s="22"/>
      <c r="AK5" s="21"/>
      <c r="AL5" s="19"/>
      <c r="AM5" s="22"/>
      <c r="AN5" s="21"/>
      <c r="AO5" s="19"/>
      <c r="AP5" s="22"/>
      <c r="AQ5" s="21"/>
      <c r="AR5" s="19"/>
      <c r="AS5" s="22"/>
      <c r="AT5" s="21"/>
      <c r="AU5" s="19"/>
      <c r="AV5" s="22"/>
      <c r="AW5" s="21"/>
      <c r="AX5" s="19"/>
      <c r="AY5" s="22"/>
      <c r="AZ5" s="21"/>
      <c r="BA5" s="19"/>
      <c r="BB5" s="22"/>
      <c r="BC5" s="21"/>
      <c r="BD5" s="19"/>
      <c r="BE5" s="22"/>
      <c r="BF5" s="21"/>
      <c r="BG5" s="19"/>
      <c r="BH5" s="22"/>
      <c r="BI5" s="21"/>
      <c r="BJ5" s="19"/>
      <c r="BK5" s="22"/>
      <c r="BL5" s="21"/>
      <c r="BM5" s="19"/>
      <c r="BN5" s="22"/>
      <c r="BO5" s="21"/>
      <c r="BP5" s="19"/>
      <c r="BQ5" s="22"/>
      <c r="BR5" s="21"/>
      <c r="BS5" s="19"/>
      <c r="BT5" s="22"/>
      <c r="BU5" s="21"/>
      <c r="BV5" s="19"/>
      <c r="BW5" s="22"/>
      <c r="BX5" s="21"/>
      <c r="BY5" s="19"/>
      <c r="BZ5" s="22"/>
      <c r="CA5" s="21"/>
      <c r="CB5" s="19"/>
      <c r="CC5" s="22"/>
      <c r="CD5" s="21"/>
      <c r="CE5" s="19"/>
      <c r="CF5" s="22"/>
      <c r="CG5" s="21"/>
      <c r="CH5" s="19"/>
      <c r="CI5" s="22"/>
      <c r="CJ5" s="21"/>
      <c r="CK5" s="19"/>
      <c r="CL5" s="22"/>
      <c r="CM5" s="21"/>
      <c r="CN5" s="19"/>
      <c r="CO5" s="22"/>
      <c r="CP5" s="21"/>
      <c r="CQ5" s="19"/>
      <c r="CR5" s="22"/>
      <c r="CS5" s="21"/>
      <c r="CT5" s="19"/>
      <c r="CU5" s="19"/>
    </row>
    <row r="6" ht="19.5" customHeight="1">
      <c r="A6" s="12"/>
      <c r="B6" s="13" t="s">
        <v>10</v>
      </c>
      <c r="C6" s="14" t="s">
        <v>7</v>
      </c>
      <c r="D6" s="15">
        <v>13.15</v>
      </c>
      <c r="E6" s="16"/>
      <c r="F6" s="17"/>
      <c r="G6" s="18"/>
      <c r="H6" s="16"/>
      <c r="I6" s="17"/>
      <c r="J6" s="18"/>
      <c r="K6" s="16"/>
      <c r="L6" s="17"/>
      <c r="M6" s="18"/>
      <c r="N6" s="19"/>
      <c r="O6" s="20"/>
      <c r="P6" s="21"/>
      <c r="Q6" s="19"/>
      <c r="R6" s="20"/>
      <c r="S6" s="21"/>
      <c r="T6" s="19"/>
      <c r="U6" s="20"/>
      <c r="V6" s="21"/>
      <c r="W6" s="19"/>
      <c r="X6" s="20"/>
      <c r="Y6" s="21"/>
      <c r="Z6" s="19"/>
      <c r="AA6" s="22"/>
      <c r="AB6" s="21"/>
      <c r="AC6" s="19"/>
      <c r="AD6" s="22"/>
      <c r="AE6" s="21"/>
      <c r="AF6" s="19"/>
      <c r="AG6" s="22"/>
      <c r="AH6" s="21"/>
      <c r="AI6" s="19"/>
      <c r="AJ6" s="22"/>
      <c r="AK6" s="21"/>
      <c r="AL6" s="19"/>
      <c r="AM6" s="22"/>
      <c r="AN6" s="21"/>
      <c r="AO6" s="19"/>
      <c r="AP6" s="22"/>
      <c r="AQ6" s="21"/>
      <c r="AR6" s="19"/>
      <c r="AS6" s="22"/>
      <c r="AT6" s="21"/>
      <c r="AU6" s="19"/>
      <c r="AV6" s="22"/>
      <c r="AW6" s="21"/>
      <c r="AX6" s="19"/>
      <c r="AY6" s="22"/>
      <c r="AZ6" s="21"/>
      <c r="BA6" s="19"/>
      <c r="BB6" s="22"/>
      <c r="BC6" s="21"/>
      <c r="BD6" s="19"/>
      <c r="BE6" s="22"/>
      <c r="BF6" s="21"/>
      <c r="BG6" s="19"/>
      <c r="BH6" s="22"/>
      <c r="BI6" s="21"/>
      <c r="BJ6" s="19"/>
      <c r="BK6" s="22"/>
      <c r="BL6" s="21"/>
      <c r="BM6" s="19"/>
      <c r="BN6" s="22"/>
      <c r="BO6" s="21"/>
      <c r="BP6" s="19"/>
      <c r="BQ6" s="22"/>
      <c r="BR6" s="21"/>
      <c r="BS6" s="19"/>
      <c r="BT6" s="22"/>
      <c r="BU6" s="21"/>
      <c r="BV6" s="19"/>
      <c r="BW6" s="22"/>
      <c r="BX6" s="21"/>
      <c r="BY6" s="19"/>
      <c r="BZ6" s="22"/>
      <c r="CA6" s="21"/>
      <c r="CB6" s="19"/>
      <c r="CC6" s="22"/>
      <c r="CD6" s="21"/>
      <c r="CE6" s="19"/>
      <c r="CF6" s="22"/>
      <c r="CG6" s="21"/>
      <c r="CH6" s="19"/>
      <c r="CI6" s="22"/>
      <c r="CJ6" s="21"/>
      <c r="CK6" s="19"/>
      <c r="CL6" s="22"/>
      <c r="CM6" s="21"/>
      <c r="CN6" s="19"/>
      <c r="CO6" s="22"/>
      <c r="CP6" s="21"/>
      <c r="CQ6" s="19"/>
      <c r="CR6" s="22"/>
      <c r="CS6" s="21"/>
      <c r="CT6" s="19"/>
      <c r="CU6" s="19"/>
    </row>
    <row r="7" ht="19.5" customHeight="1">
      <c r="A7" s="12"/>
      <c r="B7" s="13" t="s">
        <v>11</v>
      </c>
      <c r="C7" s="14" t="s">
        <v>7</v>
      </c>
      <c r="D7" s="15">
        <v>35.0</v>
      </c>
      <c r="E7" s="16"/>
      <c r="F7" s="17"/>
      <c r="G7" s="18"/>
      <c r="H7" s="16"/>
      <c r="I7" s="17"/>
      <c r="J7" s="18"/>
      <c r="K7" s="16"/>
      <c r="L7" s="17"/>
      <c r="M7" s="18"/>
      <c r="N7" s="19"/>
      <c r="O7" s="20"/>
      <c r="P7" s="21"/>
      <c r="Q7" s="19"/>
      <c r="R7" s="20"/>
      <c r="S7" s="21"/>
      <c r="T7" s="19"/>
      <c r="U7" s="20"/>
      <c r="V7" s="21"/>
      <c r="W7" s="19"/>
      <c r="X7" s="20"/>
      <c r="Y7" s="21"/>
      <c r="Z7" s="19"/>
      <c r="AA7" s="22"/>
      <c r="AB7" s="21"/>
      <c r="AC7" s="19"/>
      <c r="AD7" s="22"/>
      <c r="AE7" s="21"/>
      <c r="AF7" s="19"/>
      <c r="AG7" s="22"/>
      <c r="AH7" s="21"/>
      <c r="AI7" s="19"/>
      <c r="AJ7" s="22"/>
      <c r="AK7" s="21"/>
      <c r="AL7" s="19"/>
      <c r="AM7" s="22"/>
      <c r="AN7" s="21"/>
      <c r="AO7" s="19"/>
      <c r="AP7" s="22"/>
      <c r="AQ7" s="21"/>
      <c r="AR7" s="19"/>
      <c r="AS7" s="22"/>
      <c r="AT7" s="21"/>
      <c r="AU7" s="19"/>
      <c r="AV7" s="22"/>
      <c r="AW7" s="21"/>
      <c r="AX7" s="19"/>
      <c r="AY7" s="22"/>
      <c r="AZ7" s="21"/>
      <c r="BA7" s="19"/>
      <c r="BB7" s="22"/>
      <c r="BC7" s="21"/>
      <c r="BD7" s="19"/>
      <c r="BE7" s="22"/>
      <c r="BF7" s="21"/>
      <c r="BG7" s="19"/>
      <c r="BH7" s="22"/>
      <c r="BI7" s="21"/>
      <c r="BJ7" s="19"/>
      <c r="BK7" s="22"/>
      <c r="BL7" s="21"/>
      <c r="BM7" s="19"/>
      <c r="BN7" s="22"/>
      <c r="BO7" s="21"/>
      <c r="BP7" s="19"/>
      <c r="BQ7" s="22"/>
      <c r="BR7" s="21"/>
      <c r="BS7" s="19"/>
      <c r="BT7" s="22"/>
      <c r="BU7" s="21"/>
      <c r="BV7" s="19"/>
      <c r="BW7" s="22"/>
      <c r="BX7" s="21"/>
      <c r="BY7" s="19"/>
      <c r="BZ7" s="22"/>
      <c r="CA7" s="21"/>
      <c r="CB7" s="19"/>
      <c r="CC7" s="22"/>
      <c r="CD7" s="21"/>
      <c r="CE7" s="19"/>
      <c r="CF7" s="22"/>
      <c r="CG7" s="21"/>
      <c r="CH7" s="19"/>
      <c r="CI7" s="22"/>
      <c r="CJ7" s="21"/>
      <c r="CK7" s="19"/>
      <c r="CL7" s="22"/>
      <c r="CM7" s="21"/>
      <c r="CN7" s="19"/>
      <c r="CO7" s="22"/>
      <c r="CP7" s="21"/>
      <c r="CQ7" s="19"/>
      <c r="CR7" s="22"/>
      <c r="CS7" s="21"/>
      <c r="CT7" s="19"/>
      <c r="CU7" s="19"/>
    </row>
    <row r="8" ht="19.5" customHeight="1">
      <c r="A8" s="12"/>
      <c r="B8" s="13" t="s">
        <v>12</v>
      </c>
      <c r="C8" s="14" t="s">
        <v>7</v>
      </c>
      <c r="D8" s="15">
        <f>2.7+8*1.13</f>
        <v>11.74</v>
      </c>
      <c r="E8" s="16"/>
      <c r="F8" s="17"/>
      <c r="G8" s="18"/>
      <c r="H8" s="16"/>
      <c r="I8" s="17"/>
      <c r="J8" s="18"/>
      <c r="K8" s="16"/>
      <c r="L8" s="17"/>
      <c r="M8" s="18"/>
      <c r="N8" s="19"/>
      <c r="O8" s="20"/>
      <c r="P8" s="21"/>
      <c r="Q8" s="19"/>
      <c r="R8" s="20"/>
      <c r="S8" s="21"/>
      <c r="T8" s="19"/>
      <c r="U8" s="20"/>
      <c r="V8" s="21"/>
      <c r="W8" s="19"/>
      <c r="X8" s="20"/>
      <c r="Y8" s="21"/>
      <c r="Z8" s="19"/>
      <c r="AA8" s="22"/>
      <c r="AB8" s="21"/>
      <c r="AC8" s="19"/>
      <c r="AD8" s="22"/>
      <c r="AE8" s="21"/>
      <c r="AF8" s="19"/>
      <c r="AG8" s="22"/>
      <c r="AH8" s="21"/>
      <c r="AI8" s="19"/>
      <c r="AJ8" s="22"/>
      <c r="AK8" s="21"/>
      <c r="AL8" s="19"/>
      <c r="AM8" s="22"/>
      <c r="AN8" s="21"/>
      <c r="AO8" s="19"/>
      <c r="AP8" s="22"/>
      <c r="AQ8" s="21"/>
      <c r="AR8" s="19"/>
      <c r="AS8" s="22"/>
      <c r="AT8" s="21"/>
      <c r="AU8" s="19"/>
      <c r="AV8" s="22"/>
      <c r="AW8" s="21"/>
      <c r="AX8" s="19"/>
      <c r="AY8" s="22"/>
      <c r="AZ8" s="21"/>
      <c r="BA8" s="19"/>
      <c r="BB8" s="22"/>
      <c r="BC8" s="21"/>
      <c r="BD8" s="19"/>
      <c r="BE8" s="22"/>
      <c r="BF8" s="21"/>
      <c r="BG8" s="19"/>
      <c r="BH8" s="22"/>
      <c r="BI8" s="21"/>
      <c r="BJ8" s="19"/>
      <c r="BK8" s="22"/>
      <c r="BL8" s="21"/>
      <c r="BM8" s="19"/>
      <c r="BN8" s="22"/>
      <c r="BO8" s="21"/>
      <c r="BP8" s="19"/>
      <c r="BQ8" s="22"/>
      <c r="BR8" s="21"/>
      <c r="BS8" s="19"/>
      <c r="BT8" s="22"/>
      <c r="BU8" s="21"/>
      <c r="BV8" s="19"/>
      <c r="BW8" s="22"/>
      <c r="BX8" s="21"/>
      <c r="BY8" s="19"/>
      <c r="BZ8" s="22"/>
      <c r="CA8" s="21"/>
      <c r="CB8" s="19"/>
      <c r="CC8" s="22"/>
      <c r="CD8" s="21"/>
      <c r="CE8" s="19"/>
      <c r="CF8" s="22"/>
      <c r="CG8" s="21"/>
      <c r="CH8" s="19"/>
      <c r="CI8" s="22"/>
      <c r="CJ8" s="21"/>
      <c r="CK8" s="19"/>
      <c r="CL8" s="22"/>
      <c r="CM8" s="21"/>
      <c r="CN8" s="19"/>
      <c r="CO8" s="22"/>
      <c r="CP8" s="21"/>
      <c r="CQ8" s="19"/>
      <c r="CR8" s="22"/>
      <c r="CS8" s="21"/>
      <c r="CT8" s="19"/>
      <c r="CU8" s="19"/>
    </row>
    <row r="9" ht="19.5" customHeight="1">
      <c r="A9" s="12"/>
      <c r="B9" s="13"/>
      <c r="C9" s="14"/>
      <c r="D9" s="15"/>
      <c r="E9" s="16"/>
      <c r="F9" s="17"/>
      <c r="G9" s="18"/>
      <c r="H9" s="16"/>
      <c r="I9" s="17"/>
      <c r="J9" s="18"/>
      <c r="K9" s="16"/>
      <c r="L9" s="17"/>
      <c r="M9" s="18"/>
      <c r="N9" s="19"/>
      <c r="O9" s="20"/>
      <c r="P9" s="21"/>
      <c r="Q9" s="19"/>
      <c r="R9" s="20"/>
      <c r="S9" s="21"/>
      <c r="T9" s="19"/>
      <c r="U9" s="20"/>
      <c r="V9" s="21"/>
      <c r="W9" s="19"/>
      <c r="X9" s="20"/>
      <c r="Y9" s="21"/>
      <c r="Z9" s="19"/>
      <c r="AA9" s="22"/>
      <c r="AB9" s="21"/>
      <c r="AC9" s="19"/>
      <c r="AD9" s="22"/>
      <c r="AE9" s="21"/>
      <c r="AF9" s="19"/>
      <c r="AG9" s="22"/>
      <c r="AH9" s="21"/>
      <c r="AI9" s="19"/>
      <c r="AJ9" s="22"/>
      <c r="AK9" s="21"/>
      <c r="AL9" s="19"/>
      <c r="AM9" s="22"/>
      <c r="AN9" s="21"/>
      <c r="AO9" s="19"/>
      <c r="AP9" s="22"/>
      <c r="AQ9" s="21"/>
      <c r="AR9" s="19"/>
      <c r="AS9" s="22"/>
      <c r="AT9" s="21"/>
      <c r="AU9" s="19"/>
      <c r="AV9" s="22"/>
      <c r="AW9" s="21"/>
      <c r="AX9" s="19"/>
      <c r="AY9" s="22"/>
      <c r="AZ9" s="21"/>
      <c r="BA9" s="19"/>
      <c r="BB9" s="22"/>
      <c r="BC9" s="21"/>
      <c r="BD9" s="19"/>
      <c r="BE9" s="22"/>
      <c r="BF9" s="21"/>
      <c r="BG9" s="19"/>
      <c r="BH9" s="22"/>
      <c r="BI9" s="21"/>
      <c r="BJ9" s="19"/>
      <c r="BK9" s="22"/>
      <c r="BL9" s="21"/>
      <c r="BM9" s="19"/>
      <c r="BN9" s="22"/>
      <c r="BO9" s="21"/>
      <c r="BP9" s="19"/>
      <c r="BQ9" s="22"/>
      <c r="BR9" s="21"/>
      <c r="BS9" s="19"/>
      <c r="BT9" s="22"/>
      <c r="BU9" s="21"/>
      <c r="BV9" s="19"/>
      <c r="BW9" s="22"/>
      <c r="BX9" s="21"/>
      <c r="BY9" s="19"/>
      <c r="BZ9" s="22"/>
      <c r="CA9" s="21"/>
      <c r="CB9" s="19"/>
      <c r="CC9" s="22"/>
      <c r="CD9" s="21"/>
      <c r="CE9" s="19"/>
      <c r="CF9" s="22"/>
      <c r="CG9" s="21"/>
      <c r="CH9" s="19"/>
      <c r="CI9" s="22"/>
      <c r="CJ9" s="21"/>
      <c r="CK9" s="19"/>
      <c r="CL9" s="22"/>
      <c r="CM9" s="21"/>
      <c r="CN9" s="19"/>
      <c r="CO9" s="22"/>
      <c r="CP9" s="21"/>
      <c r="CQ9" s="19"/>
      <c r="CR9" s="22"/>
      <c r="CS9" s="21"/>
      <c r="CT9" s="19"/>
      <c r="CU9" s="19"/>
    </row>
    <row r="10" ht="19.5" customHeight="1">
      <c r="A10" s="12"/>
      <c r="B10" s="13"/>
      <c r="C10" s="14"/>
      <c r="D10" s="15"/>
      <c r="E10" s="16"/>
      <c r="F10" s="17"/>
      <c r="G10" s="18"/>
      <c r="H10" s="16"/>
      <c r="I10" s="17"/>
      <c r="J10" s="18"/>
      <c r="K10" s="16"/>
      <c r="L10" s="17"/>
      <c r="M10" s="18"/>
      <c r="N10" s="19"/>
      <c r="O10" s="20"/>
      <c r="P10" s="21"/>
      <c r="Q10" s="19"/>
      <c r="R10" s="20"/>
      <c r="S10" s="21"/>
      <c r="T10" s="19"/>
      <c r="U10" s="20"/>
      <c r="V10" s="21"/>
      <c r="W10" s="19"/>
      <c r="X10" s="20"/>
      <c r="Y10" s="21"/>
      <c r="Z10" s="19"/>
      <c r="AA10" s="22"/>
      <c r="AB10" s="21"/>
      <c r="AC10" s="19"/>
      <c r="AD10" s="22"/>
      <c r="AE10" s="21"/>
      <c r="AF10" s="19"/>
      <c r="AG10" s="22"/>
      <c r="AH10" s="21"/>
      <c r="AI10" s="19"/>
      <c r="AJ10" s="22"/>
      <c r="AK10" s="21"/>
      <c r="AL10" s="19"/>
      <c r="AM10" s="22"/>
      <c r="AN10" s="21"/>
      <c r="AO10" s="19"/>
      <c r="AP10" s="22"/>
      <c r="AQ10" s="21"/>
      <c r="AR10" s="19"/>
      <c r="AS10" s="22"/>
      <c r="AT10" s="21"/>
      <c r="AU10" s="19"/>
      <c r="AV10" s="22"/>
      <c r="AW10" s="21"/>
      <c r="AX10" s="19"/>
      <c r="AY10" s="22"/>
      <c r="AZ10" s="21"/>
      <c r="BA10" s="19"/>
      <c r="BB10" s="22"/>
      <c r="BC10" s="21"/>
      <c r="BD10" s="19"/>
      <c r="BE10" s="22"/>
      <c r="BF10" s="21"/>
      <c r="BG10" s="19"/>
      <c r="BH10" s="22"/>
      <c r="BI10" s="21"/>
      <c r="BJ10" s="19"/>
      <c r="BK10" s="22"/>
      <c r="BL10" s="21"/>
      <c r="BM10" s="19"/>
      <c r="BN10" s="22"/>
      <c r="BO10" s="21"/>
      <c r="BP10" s="19"/>
      <c r="BQ10" s="22"/>
      <c r="BR10" s="21"/>
      <c r="BS10" s="19"/>
      <c r="BT10" s="22"/>
      <c r="BU10" s="21"/>
      <c r="BV10" s="19"/>
      <c r="BW10" s="22"/>
      <c r="BX10" s="21"/>
      <c r="BY10" s="19"/>
      <c r="BZ10" s="22"/>
      <c r="CA10" s="21"/>
      <c r="CB10" s="19"/>
      <c r="CC10" s="22"/>
      <c r="CD10" s="21"/>
      <c r="CE10" s="19"/>
      <c r="CF10" s="22"/>
      <c r="CG10" s="21"/>
      <c r="CH10" s="19"/>
      <c r="CI10" s="22"/>
      <c r="CJ10" s="21"/>
      <c r="CK10" s="19"/>
      <c r="CL10" s="22"/>
      <c r="CM10" s="21"/>
      <c r="CN10" s="19"/>
      <c r="CO10" s="22"/>
      <c r="CP10" s="21"/>
      <c r="CQ10" s="19"/>
      <c r="CR10" s="22"/>
      <c r="CS10" s="21"/>
      <c r="CT10" s="19"/>
      <c r="CU10" s="19"/>
    </row>
    <row r="11" ht="19.5" customHeight="1">
      <c r="A11" s="12"/>
      <c r="B11" s="13" t="s">
        <v>13</v>
      </c>
      <c r="C11" s="14" t="s">
        <v>7</v>
      </c>
      <c r="D11" s="15">
        <v>3.0</v>
      </c>
      <c r="E11" s="16"/>
      <c r="F11" s="17"/>
      <c r="G11" s="18"/>
      <c r="H11" s="16"/>
      <c r="I11" s="17"/>
      <c r="J11" s="18"/>
      <c r="K11" s="16"/>
      <c r="L11" s="17"/>
      <c r="M11" s="18"/>
      <c r="N11" s="19"/>
      <c r="O11" s="20"/>
      <c r="P11" s="21"/>
      <c r="Q11" s="19"/>
      <c r="R11" s="20"/>
      <c r="S11" s="21"/>
      <c r="T11" s="19"/>
      <c r="U11" s="20"/>
      <c r="V11" s="21"/>
      <c r="W11" s="19"/>
      <c r="X11" s="20"/>
      <c r="Y11" s="21"/>
      <c r="Z11" s="19"/>
      <c r="AA11" s="22"/>
      <c r="AB11" s="21"/>
      <c r="AC11" s="19"/>
      <c r="AD11" s="22"/>
      <c r="AE11" s="21"/>
      <c r="AF11" s="19"/>
      <c r="AG11" s="22"/>
      <c r="AH11" s="21"/>
      <c r="AI11" s="19"/>
      <c r="AJ11" s="22"/>
      <c r="AK11" s="21"/>
      <c r="AL11" s="19"/>
      <c r="AM11" s="22"/>
      <c r="AN11" s="21"/>
      <c r="AO11" s="19"/>
      <c r="AP11" s="22"/>
      <c r="AQ11" s="21"/>
      <c r="AR11" s="19"/>
      <c r="AS11" s="22"/>
      <c r="AT11" s="21"/>
      <c r="AU11" s="19"/>
      <c r="AV11" s="22"/>
      <c r="AW11" s="21"/>
      <c r="AX11" s="19"/>
      <c r="AY11" s="22"/>
      <c r="AZ11" s="21"/>
      <c r="BA11" s="19"/>
      <c r="BB11" s="22"/>
      <c r="BC11" s="21"/>
      <c r="BD11" s="19"/>
      <c r="BE11" s="22"/>
      <c r="BF11" s="21"/>
      <c r="BG11" s="19"/>
      <c r="BH11" s="22"/>
      <c r="BI11" s="21"/>
      <c r="BJ11" s="19"/>
      <c r="BK11" s="22"/>
      <c r="BL11" s="21"/>
      <c r="BM11" s="19"/>
      <c r="BN11" s="22"/>
      <c r="BO11" s="21"/>
      <c r="BP11" s="19"/>
      <c r="BQ11" s="22"/>
      <c r="BR11" s="21"/>
      <c r="BS11" s="19"/>
      <c r="BT11" s="22"/>
      <c r="BU11" s="21"/>
      <c r="BV11" s="19"/>
      <c r="BW11" s="22"/>
      <c r="BX11" s="21"/>
      <c r="BY11" s="19"/>
      <c r="BZ11" s="22"/>
      <c r="CA11" s="21"/>
      <c r="CB11" s="19"/>
      <c r="CC11" s="22"/>
      <c r="CD11" s="21"/>
      <c r="CE11" s="19"/>
      <c r="CF11" s="22"/>
      <c r="CG11" s="21"/>
      <c r="CH11" s="19"/>
      <c r="CI11" s="22"/>
      <c r="CJ11" s="21"/>
      <c r="CK11" s="19"/>
      <c r="CL11" s="22"/>
      <c r="CM11" s="21"/>
      <c r="CN11" s="19"/>
      <c r="CO11" s="22"/>
      <c r="CP11" s="21"/>
      <c r="CQ11" s="19"/>
      <c r="CR11" s="22"/>
      <c r="CS11" s="21"/>
      <c r="CT11" s="19"/>
      <c r="CU11" s="19"/>
    </row>
    <row r="12" ht="19.5" customHeight="1">
      <c r="A12" s="12"/>
      <c r="B12" s="13" t="s">
        <v>14</v>
      </c>
      <c r="C12" s="23"/>
      <c r="D12" s="15">
        <v>4.0</v>
      </c>
      <c r="E12" s="16"/>
      <c r="F12" s="17"/>
      <c r="G12" s="18"/>
      <c r="H12" s="16"/>
      <c r="I12" s="17"/>
      <c r="J12" s="18"/>
      <c r="K12" s="16"/>
      <c r="L12" s="17"/>
      <c r="M12" s="18"/>
      <c r="N12" s="19"/>
      <c r="O12" s="20"/>
      <c r="P12" s="21"/>
      <c r="Q12" s="19"/>
      <c r="R12" s="20"/>
      <c r="S12" s="21"/>
      <c r="T12" s="19"/>
      <c r="U12" s="20"/>
      <c r="V12" s="21"/>
      <c r="W12" s="19"/>
      <c r="X12" s="20"/>
      <c r="Y12" s="21"/>
      <c r="Z12" s="19"/>
      <c r="AA12" s="22"/>
      <c r="AB12" s="21"/>
      <c r="AC12" s="19"/>
      <c r="AD12" s="22"/>
      <c r="AE12" s="21"/>
      <c r="AF12" s="19"/>
      <c r="AG12" s="22"/>
      <c r="AH12" s="21"/>
      <c r="AI12" s="19"/>
      <c r="AJ12" s="22"/>
      <c r="AK12" s="21"/>
      <c r="AL12" s="19"/>
      <c r="AM12" s="22"/>
      <c r="AN12" s="21"/>
      <c r="AO12" s="19"/>
      <c r="AP12" s="22"/>
      <c r="AQ12" s="21"/>
      <c r="AR12" s="19"/>
      <c r="AS12" s="22"/>
      <c r="AT12" s="21"/>
      <c r="AU12" s="19"/>
      <c r="AV12" s="22"/>
      <c r="AW12" s="21"/>
      <c r="AX12" s="19"/>
      <c r="AY12" s="22"/>
      <c r="AZ12" s="21"/>
      <c r="BA12" s="19"/>
      <c r="BB12" s="22"/>
      <c r="BC12" s="21"/>
      <c r="BD12" s="19"/>
      <c r="BE12" s="22"/>
      <c r="BF12" s="21"/>
      <c r="BG12" s="19"/>
      <c r="BH12" s="22"/>
      <c r="BI12" s="21"/>
      <c r="BJ12" s="19"/>
      <c r="BK12" s="22"/>
      <c r="BL12" s="21"/>
      <c r="BM12" s="19"/>
      <c r="BN12" s="22"/>
      <c r="BO12" s="21"/>
      <c r="BP12" s="19"/>
      <c r="BQ12" s="22"/>
      <c r="BR12" s="21"/>
      <c r="BS12" s="19"/>
      <c r="BT12" s="22"/>
      <c r="BU12" s="21"/>
      <c r="BV12" s="19"/>
      <c r="BW12" s="22"/>
      <c r="BX12" s="21"/>
      <c r="BY12" s="19"/>
      <c r="BZ12" s="22"/>
      <c r="CA12" s="21"/>
      <c r="CB12" s="19"/>
      <c r="CC12" s="22"/>
      <c r="CD12" s="21"/>
      <c r="CE12" s="19"/>
      <c r="CF12" s="22"/>
      <c r="CG12" s="21"/>
      <c r="CH12" s="19"/>
      <c r="CI12" s="22"/>
      <c r="CJ12" s="21"/>
      <c r="CK12" s="19"/>
      <c r="CL12" s="22"/>
      <c r="CM12" s="21"/>
      <c r="CN12" s="19"/>
      <c r="CO12" s="22"/>
      <c r="CP12" s="21"/>
      <c r="CQ12" s="19"/>
      <c r="CR12" s="22"/>
      <c r="CS12" s="21"/>
      <c r="CT12" s="19"/>
      <c r="CU12" s="19"/>
    </row>
    <row r="13" ht="19.5" customHeight="1">
      <c r="A13" s="12"/>
      <c r="B13" s="24" t="s">
        <v>15</v>
      </c>
      <c r="C13" s="23"/>
      <c r="D13" s="15">
        <f>20+4.5</f>
        <v>24.5</v>
      </c>
      <c r="E13" s="16"/>
      <c r="F13" s="25">
        <v>15.7</v>
      </c>
      <c r="G13" s="18"/>
      <c r="H13" s="16"/>
      <c r="I13" s="17"/>
      <c r="J13" s="18"/>
      <c r="K13" s="16"/>
      <c r="L13" s="17"/>
      <c r="M13" s="18"/>
      <c r="N13" s="19"/>
      <c r="O13" s="20"/>
      <c r="P13" s="21"/>
      <c r="Q13" s="19"/>
      <c r="R13" s="20"/>
      <c r="S13" s="21"/>
      <c r="T13" s="19"/>
      <c r="U13" s="20"/>
      <c r="V13" s="21"/>
      <c r="W13" s="19"/>
      <c r="X13" s="20"/>
      <c r="Y13" s="21"/>
      <c r="Z13" s="19"/>
      <c r="AA13" s="22"/>
      <c r="AB13" s="21"/>
      <c r="AC13" s="19"/>
      <c r="AD13" s="22"/>
      <c r="AE13" s="21"/>
      <c r="AF13" s="19"/>
      <c r="AG13" s="22"/>
      <c r="AH13" s="21"/>
      <c r="AI13" s="19"/>
      <c r="AJ13" s="22"/>
      <c r="AK13" s="21"/>
      <c r="AL13" s="19"/>
      <c r="AM13" s="22"/>
      <c r="AN13" s="21"/>
      <c r="AO13" s="19"/>
      <c r="AP13" s="22"/>
      <c r="AQ13" s="21"/>
      <c r="AR13" s="19"/>
      <c r="AS13" s="22"/>
      <c r="AT13" s="21"/>
      <c r="AU13" s="19"/>
      <c r="AV13" s="22"/>
      <c r="AW13" s="21"/>
      <c r="AX13" s="19"/>
      <c r="AY13" s="22"/>
      <c r="AZ13" s="21"/>
      <c r="BA13" s="19"/>
      <c r="BB13" s="22"/>
      <c r="BC13" s="21"/>
      <c r="BD13" s="19"/>
      <c r="BE13" s="22"/>
      <c r="BF13" s="21"/>
      <c r="BG13" s="19"/>
      <c r="BH13" s="22"/>
      <c r="BI13" s="21"/>
      <c r="BJ13" s="19"/>
      <c r="BK13" s="22"/>
      <c r="BL13" s="21"/>
      <c r="BM13" s="19"/>
      <c r="BN13" s="22"/>
      <c r="BO13" s="21"/>
      <c r="BP13" s="19"/>
      <c r="BQ13" s="22"/>
      <c r="BR13" s="21"/>
      <c r="BS13" s="19"/>
      <c r="BT13" s="22"/>
      <c r="BU13" s="21"/>
      <c r="BV13" s="19"/>
      <c r="BW13" s="22"/>
      <c r="BX13" s="21"/>
      <c r="BY13" s="19"/>
      <c r="BZ13" s="22"/>
      <c r="CA13" s="21"/>
      <c r="CB13" s="19"/>
      <c r="CC13" s="22"/>
      <c r="CD13" s="21"/>
      <c r="CE13" s="19"/>
      <c r="CF13" s="22"/>
      <c r="CG13" s="21"/>
      <c r="CH13" s="19"/>
      <c r="CI13" s="22"/>
      <c r="CJ13" s="21"/>
      <c r="CK13" s="19"/>
      <c r="CL13" s="22"/>
      <c r="CM13" s="21"/>
      <c r="CN13" s="19"/>
      <c r="CO13" s="22"/>
      <c r="CP13" s="21"/>
      <c r="CQ13" s="19"/>
      <c r="CR13" s="22"/>
      <c r="CS13" s="21"/>
      <c r="CT13" s="19"/>
      <c r="CU13" s="19"/>
    </row>
    <row r="14" ht="19.5" customHeight="1">
      <c r="A14" s="12"/>
      <c r="B14" s="13" t="s">
        <v>16</v>
      </c>
      <c r="C14" s="23"/>
      <c r="D14" s="15">
        <f>7+2.7</f>
        <v>9.7</v>
      </c>
      <c r="E14" s="16"/>
      <c r="F14" s="25">
        <v>5.0</v>
      </c>
      <c r="G14" s="18"/>
      <c r="H14" s="16"/>
      <c r="I14" s="17"/>
      <c r="J14" s="18"/>
      <c r="K14" s="16"/>
      <c r="L14" s="17"/>
      <c r="M14" s="18"/>
      <c r="N14" s="19"/>
      <c r="O14" s="20"/>
      <c r="P14" s="21"/>
      <c r="Q14" s="19"/>
      <c r="R14" s="20"/>
      <c r="S14" s="21"/>
      <c r="T14" s="19"/>
      <c r="U14" s="20"/>
      <c r="V14" s="21"/>
      <c r="W14" s="19"/>
      <c r="X14" s="20"/>
      <c r="Y14" s="21"/>
      <c r="Z14" s="19"/>
      <c r="AA14" s="22"/>
      <c r="AB14" s="21"/>
      <c r="AC14" s="19"/>
      <c r="AD14" s="22"/>
      <c r="AE14" s="21"/>
      <c r="AF14" s="19"/>
      <c r="AG14" s="22"/>
      <c r="AH14" s="21"/>
      <c r="AI14" s="19"/>
      <c r="AJ14" s="22"/>
      <c r="AK14" s="21"/>
      <c r="AL14" s="19"/>
      <c r="AM14" s="22"/>
      <c r="AN14" s="21"/>
      <c r="AO14" s="19"/>
      <c r="AP14" s="22"/>
      <c r="AQ14" s="21"/>
      <c r="AR14" s="19"/>
      <c r="AS14" s="22"/>
      <c r="AT14" s="21"/>
      <c r="AU14" s="19"/>
      <c r="AV14" s="22"/>
      <c r="AW14" s="21"/>
      <c r="AX14" s="19"/>
      <c r="AY14" s="22"/>
      <c r="AZ14" s="21"/>
      <c r="BA14" s="19"/>
      <c r="BB14" s="22"/>
      <c r="BC14" s="21"/>
      <c r="BD14" s="19"/>
      <c r="BE14" s="22"/>
      <c r="BF14" s="21"/>
      <c r="BG14" s="19"/>
      <c r="BH14" s="22"/>
      <c r="BI14" s="21"/>
      <c r="BJ14" s="19"/>
      <c r="BK14" s="22"/>
      <c r="BL14" s="21"/>
      <c r="BM14" s="19"/>
      <c r="BN14" s="22"/>
      <c r="BO14" s="21"/>
      <c r="BP14" s="19"/>
      <c r="BQ14" s="22"/>
      <c r="BR14" s="21"/>
      <c r="BS14" s="19"/>
      <c r="BT14" s="22"/>
      <c r="BU14" s="21"/>
      <c r="BV14" s="19"/>
      <c r="BW14" s="22"/>
      <c r="BX14" s="21"/>
      <c r="BY14" s="19"/>
      <c r="BZ14" s="22"/>
      <c r="CA14" s="21"/>
      <c r="CB14" s="19"/>
      <c r="CC14" s="22"/>
      <c r="CD14" s="21"/>
      <c r="CE14" s="19"/>
      <c r="CF14" s="22"/>
      <c r="CG14" s="21"/>
      <c r="CH14" s="19"/>
      <c r="CI14" s="22"/>
      <c r="CJ14" s="21"/>
      <c r="CK14" s="19"/>
      <c r="CL14" s="22"/>
      <c r="CM14" s="21"/>
      <c r="CN14" s="19"/>
      <c r="CO14" s="22"/>
      <c r="CP14" s="21"/>
      <c r="CQ14" s="19"/>
      <c r="CR14" s="22"/>
      <c r="CS14" s="21"/>
      <c r="CT14" s="19"/>
      <c r="CU14" s="19"/>
    </row>
    <row r="15" ht="19.5" customHeight="1">
      <c r="A15" s="12"/>
      <c r="B15" s="13" t="s">
        <v>17</v>
      </c>
      <c r="C15" s="23"/>
      <c r="D15" s="15">
        <f>8.2+6+10+3</f>
        <v>27.2</v>
      </c>
      <c r="E15" s="16"/>
      <c r="F15" s="25">
        <v>3.0</v>
      </c>
      <c r="G15" s="18"/>
      <c r="H15" s="16"/>
      <c r="I15" s="17"/>
      <c r="J15" s="18"/>
      <c r="K15" s="16"/>
      <c r="L15" s="17"/>
      <c r="M15" s="18"/>
      <c r="N15" s="19"/>
      <c r="O15" s="20"/>
      <c r="P15" s="21"/>
      <c r="Q15" s="19"/>
      <c r="R15" s="20"/>
      <c r="S15" s="21"/>
      <c r="T15" s="19"/>
      <c r="U15" s="20"/>
      <c r="V15" s="21"/>
      <c r="W15" s="19"/>
      <c r="X15" s="20"/>
      <c r="Y15" s="21"/>
      <c r="Z15" s="19"/>
      <c r="AA15" s="22"/>
      <c r="AB15" s="21"/>
      <c r="AC15" s="19"/>
      <c r="AD15" s="22"/>
      <c r="AE15" s="21"/>
      <c r="AF15" s="19"/>
      <c r="AG15" s="22"/>
      <c r="AH15" s="21"/>
      <c r="AI15" s="19"/>
      <c r="AJ15" s="22"/>
      <c r="AK15" s="21"/>
      <c r="AL15" s="19"/>
      <c r="AM15" s="22"/>
      <c r="AN15" s="21"/>
      <c r="AO15" s="19"/>
      <c r="AP15" s="22"/>
      <c r="AQ15" s="21"/>
      <c r="AR15" s="19"/>
      <c r="AS15" s="22"/>
      <c r="AT15" s="21"/>
      <c r="AU15" s="19"/>
      <c r="AV15" s="22"/>
      <c r="AW15" s="21"/>
      <c r="AX15" s="19"/>
      <c r="AY15" s="22"/>
      <c r="AZ15" s="21"/>
      <c r="BA15" s="19"/>
      <c r="BB15" s="22"/>
      <c r="BC15" s="21"/>
      <c r="BD15" s="19"/>
      <c r="BE15" s="22"/>
      <c r="BF15" s="21"/>
      <c r="BG15" s="19"/>
      <c r="BH15" s="22"/>
      <c r="BI15" s="21"/>
      <c r="BJ15" s="19"/>
      <c r="BK15" s="22"/>
      <c r="BL15" s="21"/>
      <c r="BM15" s="19"/>
      <c r="BN15" s="22"/>
      <c r="BO15" s="21"/>
      <c r="BP15" s="19"/>
      <c r="BQ15" s="22"/>
      <c r="BR15" s="21"/>
      <c r="BS15" s="19"/>
      <c r="BT15" s="22"/>
      <c r="BU15" s="21"/>
      <c r="BV15" s="19"/>
      <c r="BW15" s="22"/>
      <c r="BX15" s="21"/>
      <c r="BY15" s="19"/>
      <c r="BZ15" s="22"/>
      <c r="CA15" s="21"/>
      <c r="CB15" s="19"/>
      <c r="CC15" s="22"/>
      <c r="CD15" s="21"/>
      <c r="CE15" s="19"/>
      <c r="CF15" s="22"/>
      <c r="CG15" s="21"/>
      <c r="CH15" s="19"/>
      <c r="CI15" s="22"/>
      <c r="CJ15" s="21"/>
      <c r="CK15" s="19"/>
      <c r="CL15" s="22"/>
      <c r="CM15" s="21"/>
      <c r="CN15" s="19"/>
      <c r="CO15" s="22"/>
      <c r="CP15" s="21"/>
      <c r="CQ15" s="19"/>
      <c r="CR15" s="22"/>
      <c r="CS15" s="21"/>
      <c r="CT15" s="19"/>
      <c r="CU15" s="19"/>
    </row>
    <row r="16" ht="19.5" customHeight="1">
      <c r="A16" s="12"/>
      <c r="B16" s="13" t="s">
        <v>18</v>
      </c>
      <c r="C16" s="23"/>
      <c r="D16" s="15">
        <v>7.0</v>
      </c>
      <c r="E16" s="16"/>
      <c r="F16" s="17"/>
      <c r="G16" s="18"/>
      <c r="H16" s="16"/>
      <c r="I16" s="17"/>
      <c r="J16" s="18"/>
      <c r="K16" s="16"/>
      <c r="L16" s="17"/>
      <c r="M16" s="18"/>
      <c r="N16" s="19"/>
      <c r="O16" s="20"/>
      <c r="P16" s="21"/>
      <c r="Q16" s="19"/>
      <c r="R16" s="20"/>
      <c r="S16" s="21"/>
      <c r="T16" s="19"/>
      <c r="U16" s="20"/>
      <c r="V16" s="21"/>
      <c r="W16" s="19"/>
      <c r="X16" s="20"/>
      <c r="Y16" s="21"/>
      <c r="Z16" s="19"/>
      <c r="AA16" s="22"/>
      <c r="AB16" s="21"/>
      <c r="AC16" s="19"/>
      <c r="AD16" s="22"/>
      <c r="AE16" s="21"/>
      <c r="AF16" s="19"/>
      <c r="AG16" s="22"/>
      <c r="AH16" s="21"/>
      <c r="AI16" s="19"/>
      <c r="AJ16" s="22"/>
      <c r="AK16" s="21"/>
      <c r="AL16" s="19"/>
      <c r="AM16" s="22"/>
      <c r="AN16" s="21"/>
      <c r="AO16" s="19"/>
      <c r="AP16" s="22"/>
      <c r="AQ16" s="21"/>
      <c r="AR16" s="19"/>
      <c r="AS16" s="22"/>
      <c r="AT16" s="21"/>
      <c r="AU16" s="19"/>
      <c r="AV16" s="22"/>
      <c r="AW16" s="21"/>
      <c r="AX16" s="19"/>
      <c r="AY16" s="22"/>
      <c r="AZ16" s="21"/>
      <c r="BA16" s="19"/>
      <c r="BB16" s="22"/>
      <c r="BC16" s="21"/>
      <c r="BD16" s="19"/>
      <c r="BE16" s="22"/>
      <c r="BF16" s="21"/>
      <c r="BG16" s="19"/>
      <c r="BH16" s="22"/>
      <c r="BI16" s="21"/>
      <c r="BJ16" s="19"/>
      <c r="BK16" s="22"/>
      <c r="BL16" s="21"/>
      <c r="BM16" s="19"/>
      <c r="BN16" s="22"/>
      <c r="BO16" s="21"/>
      <c r="BP16" s="19"/>
      <c r="BQ16" s="22"/>
      <c r="BR16" s="21"/>
      <c r="BS16" s="19"/>
      <c r="BT16" s="22"/>
      <c r="BU16" s="21"/>
      <c r="BV16" s="19"/>
      <c r="BW16" s="22"/>
      <c r="BX16" s="21"/>
      <c r="BY16" s="19"/>
      <c r="BZ16" s="22"/>
      <c r="CA16" s="21"/>
      <c r="CB16" s="19"/>
      <c r="CC16" s="22"/>
      <c r="CD16" s="21"/>
      <c r="CE16" s="19"/>
      <c r="CF16" s="22"/>
      <c r="CG16" s="21"/>
      <c r="CH16" s="19"/>
      <c r="CI16" s="22"/>
      <c r="CJ16" s="21"/>
      <c r="CK16" s="19"/>
      <c r="CL16" s="22"/>
      <c r="CM16" s="21"/>
      <c r="CN16" s="19"/>
      <c r="CO16" s="22"/>
      <c r="CP16" s="21"/>
      <c r="CQ16" s="19"/>
      <c r="CR16" s="22"/>
      <c r="CS16" s="21"/>
      <c r="CT16" s="19"/>
      <c r="CU16" s="19"/>
    </row>
    <row r="17" ht="19.5" customHeight="1">
      <c r="A17" s="12"/>
      <c r="B17" s="26"/>
      <c r="C17" s="23"/>
      <c r="D17" s="15"/>
      <c r="E17" s="16"/>
      <c r="F17" s="17"/>
      <c r="G17" s="18"/>
      <c r="H17" s="16"/>
      <c r="I17" s="17"/>
      <c r="J17" s="18"/>
      <c r="K17" s="16"/>
      <c r="L17" s="17"/>
      <c r="M17" s="18"/>
      <c r="N17" s="19"/>
      <c r="O17" s="20"/>
      <c r="P17" s="21"/>
      <c r="Q17" s="19"/>
      <c r="R17" s="20"/>
      <c r="S17" s="21"/>
      <c r="T17" s="19"/>
      <c r="U17" s="20"/>
      <c r="V17" s="21"/>
      <c r="W17" s="19"/>
      <c r="X17" s="20"/>
      <c r="Y17" s="21"/>
      <c r="Z17" s="19"/>
      <c r="AA17" s="22"/>
      <c r="AB17" s="21"/>
      <c r="AC17" s="19"/>
      <c r="AD17" s="22"/>
      <c r="AE17" s="21"/>
      <c r="AF17" s="19"/>
      <c r="AG17" s="22"/>
      <c r="AH17" s="21"/>
      <c r="AI17" s="19"/>
      <c r="AJ17" s="22"/>
      <c r="AK17" s="21"/>
      <c r="AL17" s="19"/>
      <c r="AM17" s="22"/>
      <c r="AN17" s="21"/>
      <c r="AO17" s="19"/>
      <c r="AP17" s="22"/>
      <c r="AQ17" s="21"/>
      <c r="AR17" s="19"/>
      <c r="AS17" s="22"/>
      <c r="AT17" s="21"/>
      <c r="AU17" s="19"/>
      <c r="AV17" s="22"/>
      <c r="AW17" s="21"/>
      <c r="AX17" s="19"/>
      <c r="AY17" s="22"/>
      <c r="AZ17" s="21"/>
      <c r="BA17" s="19"/>
      <c r="BB17" s="22"/>
      <c r="BC17" s="21"/>
      <c r="BD17" s="19"/>
      <c r="BE17" s="22"/>
      <c r="BF17" s="21"/>
      <c r="BG17" s="19"/>
      <c r="BH17" s="22"/>
      <c r="BI17" s="21"/>
      <c r="BJ17" s="19"/>
      <c r="BK17" s="22"/>
      <c r="BL17" s="21"/>
      <c r="BM17" s="19"/>
      <c r="BN17" s="22"/>
      <c r="BO17" s="21"/>
      <c r="BP17" s="19"/>
      <c r="BQ17" s="22"/>
      <c r="BR17" s="21"/>
      <c r="BS17" s="19"/>
      <c r="BT17" s="22"/>
      <c r="BU17" s="21"/>
      <c r="BV17" s="19"/>
      <c r="BW17" s="22"/>
      <c r="BX17" s="21"/>
      <c r="BY17" s="19"/>
      <c r="BZ17" s="22"/>
      <c r="CA17" s="21"/>
      <c r="CB17" s="19"/>
      <c r="CC17" s="22"/>
      <c r="CD17" s="21"/>
      <c r="CE17" s="19"/>
      <c r="CF17" s="22"/>
      <c r="CG17" s="21"/>
      <c r="CH17" s="19"/>
      <c r="CI17" s="22"/>
      <c r="CJ17" s="21"/>
      <c r="CK17" s="19"/>
      <c r="CL17" s="22"/>
      <c r="CM17" s="21"/>
      <c r="CN17" s="19"/>
      <c r="CO17" s="22"/>
      <c r="CP17" s="21"/>
      <c r="CQ17" s="19"/>
      <c r="CR17" s="22"/>
      <c r="CS17" s="21"/>
      <c r="CT17" s="19"/>
      <c r="CU17" s="19"/>
    </row>
    <row r="18" ht="19.5" customHeight="1">
      <c r="A18" s="12"/>
      <c r="B18" s="24"/>
      <c r="C18" s="23"/>
      <c r="D18" s="15"/>
      <c r="E18" s="16"/>
      <c r="F18" s="17"/>
      <c r="G18" s="18"/>
      <c r="H18" s="16"/>
      <c r="I18" s="17"/>
      <c r="J18" s="18"/>
      <c r="K18" s="16"/>
      <c r="L18" s="17"/>
      <c r="M18" s="18"/>
      <c r="N18" s="19"/>
      <c r="O18" s="20"/>
      <c r="P18" s="21"/>
      <c r="Q18" s="19"/>
      <c r="R18" s="20"/>
      <c r="S18" s="21"/>
      <c r="T18" s="19"/>
      <c r="U18" s="20"/>
      <c r="V18" s="21"/>
      <c r="W18" s="19"/>
      <c r="X18" s="20"/>
      <c r="Y18" s="21"/>
      <c r="Z18" s="19"/>
      <c r="AA18" s="22"/>
      <c r="AB18" s="21"/>
      <c r="AC18" s="19"/>
      <c r="AD18" s="22"/>
      <c r="AE18" s="21"/>
      <c r="AF18" s="19"/>
      <c r="AG18" s="22"/>
      <c r="AH18" s="21"/>
      <c r="AI18" s="19"/>
      <c r="AJ18" s="22"/>
      <c r="AK18" s="21"/>
      <c r="AL18" s="19"/>
      <c r="AM18" s="22"/>
      <c r="AN18" s="21"/>
      <c r="AO18" s="19"/>
      <c r="AP18" s="22"/>
      <c r="AQ18" s="21"/>
      <c r="AR18" s="19"/>
      <c r="AS18" s="22"/>
      <c r="AT18" s="21"/>
      <c r="AU18" s="19"/>
      <c r="AV18" s="22"/>
      <c r="AW18" s="21"/>
      <c r="AX18" s="19"/>
      <c r="AY18" s="22"/>
      <c r="AZ18" s="21"/>
      <c r="BA18" s="19"/>
      <c r="BB18" s="22"/>
      <c r="BC18" s="21"/>
      <c r="BD18" s="19"/>
      <c r="BE18" s="22"/>
      <c r="BF18" s="21"/>
      <c r="BG18" s="19"/>
      <c r="BH18" s="22"/>
      <c r="BI18" s="21"/>
      <c r="BJ18" s="19"/>
      <c r="BK18" s="22"/>
      <c r="BL18" s="21"/>
      <c r="BM18" s="19"/>
      <c r="BN18" s="22"/>
      <c r="BO18" s="21"/>
      <c r="BP18" s="19"/>
      <c r="BQ18" s="22"/>
      <c r="BR18" s="21"/>
      <c r="BS18" s="19"/>
      <c r="BT18" s="22"/>
      <c r="BU18" s="21"/>
      <c r="BV18" s="19"/>
      <c r="BW18" s="22"/>
      <c r="BX18" s="21"/>
      <c r="BY18" s="19"/>
      <c r="BZ18" s="22"/>
      <c r="CA18" s="21"/>
      <c r="CB18" s="19"/>
      <c r="CC18" s="22"/>
      <c r="CD18" s="21"/>
      <c r="CE18" s="19"/>
      <c r="CF18" s="22"/>
      <c r="CG18" s="21"/>
      <c r="CH18" s="19"/>
      <c r="CI18" s="22"/>
      <c r="CJ18" s="21"/>
      <c r="CK18" s="19"/>
      <c r="CL18" s="22"/>
      <c r="CM18" s="21"/>
      <c r="CN18" s="19"/>
      <c r="CO18" s="22"/>
      <c r="CP18" s="21"/>
      <c r="CQ18" s="19"/>
      <c r="CR18" s="22"/>
      <c r="CS18" s="21"/>
      <c r="CT18" s="19"/>
      <c r="CU18" s="19"/>
    </row>
    <row r="19" ht="19.5" customHeight="1">
      <c r="A19" s="12"/>
      <c r="B19" s="13" t="s">
        <v>19</v>
      </c>
      <c r="C19" s="27" t="s">
        <v>20</v>
      </c>
      <c r="D19" s="15">
        <v>10.0</v>
      </c>
      <c r="E19" s="28" t="s">
        <v>21</v>
      </c>
      <c r="F19" s="17"/>
      <c r="G19" s="18"/>
      <c r="H19" s="16"/>
      <c r="I19" s="17"/>
      <c r="J19" s="18"/>
      <c r="K19" s="16"/>
      <c r="L19" s="17"/>
      <c r="M19" s="18"/>
      <c r="N19" s="19"/>
      <c r="O19" s="20"/>
      <c r="P19" s="21"/>
      <c r="Q19" s="19"/>
      <c r="R19" s="20"/>
      <c r="S19" s="21"/>
      <c r="T19" s="19"/>
      <c r="U19" s="20"/>
      <c r="V19" s="21"/>
      <c r="W19" s="19"/>
      <c r="X19" s="20"/>
      <c r="Y19" s="21"/>
      <c r="Z19" s="19"/>
      <c r="AA19" s="22"/>
      <c r="AB19" s="21"/>
      <c r="AC19" s="19"/>
      <c r="AD19" s="22"/>
      <c r="AE19" s="21"/>
      <c r="AF19" s="19"/>
      <c r="AG19" s="22"/>
      <c r="AH19" s="21"/>
      <c r="AI19" s="19"/>
      <c r="AJ19" s="22"/>
      <c r="AK19" s="21"/>
      <c r="AL19" s="19"/>
      <c r="AM19" s="22"/>
      <c r="AN19" s="21"/>
      <c r="AO19" s="19"/>
      <c r="AP19" s="22"/>
      <c r="AQ19" s="21"/>
      <c r="AR19" s="19"/>
      <c r="AS19" s="22"/>
      <c r="AT19" s="21"/>
      <c r="AU19" s="19"/>
      <c r="AV19" s="22"/>
      <c r="AW19" s="21"/>
      <c r="AX19" s="19"/>
      <c r="AY19" s="22"/>
      <c r="AZ19" s="21"/>
      <c r="BA19" s="19"/>
      <c r="BB19" s="22"/>
      <c r="BC19" s="21"/>
      <c r="BD19" s="19"/>
      <c r="BE19" s="22"/>
      <c r="BF19" s="21"/>
      <c r="BG19" s="19"/>
      <c r="BH19" s="22"/>
      <c r="BI19" s="21"/>
      <c r="BJ19" s="19"/>
      <c r="BK19" s="22"/>
      <c r="BL19" s="21"/>
      <c r="BM19" s="19"/>
      <c r="BN19" s="22"/>
      <c r="BO19" s="21"/>
      <c r="BP19" s="19"/>
      <c r="BQ19" s="22"/>
      <c r="BR19" s="21"/>
      <c r="BS19" s="19"/>
      <c r="BT19" s="22"/>
      <c r="BU19" s="21"/>
      <c r="BV19" s="19"/>
      <c r="BW19" s="22"/>
      <c r="BX19" s="21"/>
      <c r="BY19" s="19"/>
      <c r="BZ19" s="22"/>
      <c r="CA19" s="21"/>
      <c r="CB19" s="19"/>
      <c r="CC19" s="22"/>
      <c r="CD19" s="21"/>
      <c r="CE19" s="19"/>
      <c r="CF19" s="22"/>
      <c r="CG19" s="21"/>
      <c r="CH19" s="19"/>
      <c r="CI19" s="22"/>
      <c r="CJ19" s="21"/>
      <c r="CK19" s="19"/>
      <c r="CL19" s="22"/>
      <c r="CM19" s="21"/>
      <c r="CN19" s="19"/>
      <c r="CO19" s="22"/>
      <c r="CP19" s="21"/>
      <c r="CQ19" s="19"/>
      <c r="CR19" s="22"/>
      <c r="CS19" s="21"/>
      <c r="CT19" s="19"/>
      <c r="CU19" s="19"/>
    </row>
    <row r="20" ht="19.5" customHeight="1">
      <c r="A20" s="12"/>
      <c r="B20" s="13" t="s">
        <v>22</v>
      </c>
      <c r="C20" s="27" t="s">
        <v>20</v>
      </c>
      <c r="D20" s="15">
        <v>40.0</v>
      </c>
      <c r="E20" s="16"/>
      <c r="F20" s="17"/>
      <c r="G20" s="18"/>
      <c r="H20" s="16"/>
      <c r="I20" s="17"/>
      <c r="J20" s="18"/>
      <c r="K20" s="16"/>
      <c r="L20" s="17"/>
      <c r="M20" s="18"/>
      <c r="N20" s="19"/>
      <c r="O20" s="20"/>
      <c r="P20" s="21"/>
      <c r="Q20" s="19"/>
      <c r="R20" s="20"/>
      <c r="S20" s="21"/>
      <c r="T20" s="19"/>
      <c r="U20" s="20"/>
      <c r="V20" s="21"/>
      <c r="W20" s="19"/>
      <c r="X20" s="20"/>
      <c r="Y20" s="21"/>
      <c r="Z20" s="19"/>
      <c r="AA20" s="22"/>
      <c r="AB20" s="21"/>
      <c r="AC20" s="19"/>
      <c r="AD20" s="22"/>
      <c r="AE20" s="21"/>
      <c r="AF20" s="19"/>
      <c r="AG20" s="22"/>
      <c r="AH20" s="21"/>
      <c r="AI20" s="19"/>
      <c r="AJ20" s="22"/>
      <c r="AK20" s="21"/>
      <c r="AL20" s="19"/>
      <c r="AM20" s="22"/>
      <c r="AN20" s="21"/>
      <c r="AO20" s="19"/>
      <c r="AP20" s="22"/>
      <c r="AQ20" s="21"/>
      <c r="AR20" s="19"/>
      <c r="AS20" s="22"/>
      <c r="AT20" s="21"/>
      <c r="AU20" s="19"/>
      <c r="AV20" s="22"/>
      <c r="AW20" s="21"/>
      <c r="AX20" s="19"/>
      <c r="AY20" s="22"/>
      <c r="AZ20" s="21"/>
      <c r="BA20" s="19"/>
      <c r="BB20" s="22"/>
      <c r="BC20" s="21"/>
      <c r="BD20" s="19"/>
      <c r="BE20" s="22"/>
      <c r="BF20" s="21"/>
      <c r="BG20" s="19"/>
      <c r="BH20" s="22"/>
      <c r="BI20" s="21"/>
      <c r="BJ20" s="19"/>
      <c r="BK20" s="22"/>
      <c r="BL20" s="21"/>
      <c r="BM20" s="19"/>
      <c r="BN20" s="22"/>
      <c r="BO20" s="21"/>
      <c r="BP20" s="19"/>
      <c r="BQ20" s="22"/>
      <c r="BR20" s="21"/>
      <c r="BS20" s="19"/>
      <c r="BT20" s="22"/>
      <c r="BU20" s="21"/>
      <c r="BV20" s="19"/>
      <c r="BW20" s="22"/>
      <c r="BX20" s="21"/>
      <c r="BY20" s="19"/>
      <c r="BZ20" s="22"/>
      <c r="CA20" s="21"/>
      <c r="CB20" s="19"/>
      <c r="CC20" s="22"/>
      <c r="CD20" s="21"/>
      <c r="CE20" s="19"/>
      <c r="CF20" s="22"/>
      <c r="CG20" s="21"/>
      <c r="CH20" s="19"/>
      <c r="CI20" s="22"/>
      <c r="CJ20" s="21"/>
      <c r="CK20" s="19"/>
      <c r="CL20" s="22"/>
      <c r="CM20" s="21"/>
      <c r="CN20" s="19"/>
      <c r="CO20" s="22"/>
      <c r="CP20" s="21"/>
      <c r="CQ20" s="19"/>
      <c r="CR20" s="22"/>
      <c r="CS20" s="21"/>
      <c r="CT20" s="19"/>
      <c r="CU20" s="19"/>
    </row>
    <row r="21" ht="19.5" customHeight="1">
      <c r="A21" s="12"/>
      <c r="B21" s="24"/>
      <c r="C21" s="23"/>
      <c r="D21" s="15"/>
      <c r="E21" s="16"/>
      <c r="F21" s="17"/>
      <c r="G21" s="18"/>
      <c r="H21" s="16"/>
      <c r="I21" s="17"/>
      <c r="J21" s="18"/>
      <c r="K21" s="16"/>
      <c r="L21" s="17"/>
      <c r="M21" s="18"/>
      <c r="N21" s="19"/>
      <c r="O21" s="20"/>
      <c r="P21" s="21"/>
      <c r="Q21" s="19"/>
      <c r="R21" s="20"/>
      <c r="S21" s="21"/>
      <c r="T21" s="19"/>
      <c r="U21" s="20"/>
      <c r="V21" s="21"/>
      <c r="W21" s="19"/>
      <c r="X21" s="20"/>
      <c r="Y21" s="21"/>
      <c r="Z21" s="19"/>
      <c r="AA21" s="22"/>
      <c r="AB21" s="21"/>
      <c r="AC21" s="19"/>
      <c r="AD21" s="22"/>
      <c r="AE21" s="21"/>
      <c r="AF21" s="19"/>
      <c r="AG21" s="22"/>
      <c r="AH21" s="21"/>
      <c r="AI21" s="19"/>
      <c r="AJ21" s="22"/>
      <c r="AK21" s="21"/>
      <c r="AL21" s="19"/>
      <c r="AM21" s="22"/>
      <c r="AN21" s="21"/>
      <c r="AO21" s="19"/>
      <c r="AP21" s="22"/>
      <c r="AQ21" s="21"/>
      <c r="AR21" s="19"/>
      <c r="AS21" s="22"/>
      <c r="AT21" s="21"/>
      <c r="AU21" s="19"/>
      <c r="AV21" s="22"/>
      <c r="AW21" s="21"/>
      <c r="AX21" s="19"/>
      <c r="AY21" s="22"/>
      <c r="AZ21" s="21"/>
      <c r="BA21" s="19"/>
      <c r="BB21" s="22"/>
      <c r="BC21" s="21"/>
      <c r="BD21" s="19"/>
      <c r="BE21" s="22"/>
      <c r="BF21" s="21"/>
      <c r="BG21" s="19"/>
      <c r="BH21" s="22"/>
      <c r="BI21" s="21"/>
      <c r="BJ21" s="19"/>
      <c r="BK21" s="22"/>
      <c r="BL21" s="21"/>
      <c r="BM21" s="19"/>
      <c r="BN21" s="22"/>
      <c r="BO21" s="21"/>
      <c r="BP21" s="19"/>
      <c r="BQ21" s="22"/>
      <c r="BR21" s="21"/>
      <c r="BS21" s="19"/>
      <c r="BT21" s="22"/>
      <c r="BU21" s="21"/>
      <c r="BV21" s="19"/>
      <c r="BW21" s="22"/>
      <c r="BX21" s="21"/>
      <c r="BY21" s="19"/>
      <c r="BZ21" s="22"/>
      <c r="CA21" s="21"/>
      <c r="CB21" s="19"/>
      <c r="CC21" s="22"/>
      <c r="CD21" s="21"/>
      <c r="CE21" s="19"/>
      <c r="CF21" s="22"/>
      <c r="CG21" s="21"/>
      <c r="CH21" s="19"/>
      <c r="CI21" s="22"/>
      <c r="CJ21" s="21"/>
      <c r="CK21" s="19"/>
      <c r="CL21" s="22"/>
      <c r="CM21" s="21"/>
      <c r="CN21" s="19"/>
      <c r="CO21" s="22"/>
      <c r="CP21" s="21"/>
      <c r="CQ21" s="19"/>
      <c r="CR21" s="22"/>
      <c r="CS21" s="21"/>
      <c r="CT21" s="19"/>
      <c r="CU21" s="19"/>
    </row>
    <row r="22" ht="19.5" customHeight="1">
      <c r="A22" s="12"/>
      <c r="B22" s="24" t="s">
        <v>23</v>
      </c>
      <c r="C22" s="14" t="s">
        <v>7</v>
      </c>
      <c r="D22" s="15">
        <v>7.2</v>
      </c>
      <c r="E22" s="16"/>
      <c r="F22" s="17"/>
      <c r="G22" s="18"/>
      <c r="H22" s="16"/>
      <c r="I22" s="17"/>
      <c r="J22" s="18"/>
      <c r="K22" s="16"/>
      <c r="L22" s="17"/>
      <c r="M22" s="18"/>
      <c r="N22" s="19"/>
      <c r="O22" s="20"/>
      <c r="P22" s="21"/>
      <c r="Q22" s="19"/>
      <c r="R22" s="20"/>
      <c r="S22" s="21"/>
      <c r="T22" s="19"/>
      <c r="U22" s="20"/>
      <c r="V22" s="21"/>
      <c r="W22" s="19"/>
      <c r="X22" s="20"/>
      <c r="Y22" s="21"/>
      <c r="Z22" s="19"/>
      <c r="AA22" s="22"/>
      <c r="AB22" s="21"/>
      <c r="AC22" s="19"/>
      <c r="AD22" s="22"/>
      <c r="AE22" s="21"/>
      <c r="AF22" s="19"/>
      <c r="AG22" s="22"/>
      <c r="AH22" s="21"/>
      <c r="AI22" s="19"/>
      <c r="AJ22" s="22"/>
      <c r="AK22" s="21"/>
      <c r="AL22" s="19"/>
      <c r="AM22" s="22"/>
      <c r="AN22" s="21"/>
      <c r="AO22" s="19"/>
      <c r="AP22" s="22"/>
      <c r="AQ22" s="21"/>
      <c r="AR22" s="19"/>
      <c r="AS22" s="22"/>
      <c r="AT22" s="21"/>
      <c r="AU22" s="19"/>
      <c r="AV22" s="22"/>
      <c r="AW22" s="21"/>
      <c r="AX22" s="19"/>
      <c r="AY22" s="22"/>
      <c r="AZ22" s="21"/>
      <c r="BA22" s="19"/>
      <c r="BB22" s="22"/>
      <c r="BC22" s="21"/>
      <c r="BD22" s="19"/>
      <c r="BE22" s="22"/>
      <c r="BF22" s="21"/>
      <c r="BG22" s="19"/>
      <c r="BH22" s="22"/>
      <c r="BI22" s="21"/>
      <c r="BJ22" s="19"/>
      <c r="BK22" s="22"/>
      <c r="BL22" s="21"/>
      <c r="BM22" s="19"/>
      <c r="BN22" s="22"/>
      <c r="BO22" s="21"/>
      <c r="BP22" s="19"/>
      <c r="BQ22" s="22"/>
      <c r="BR22" s="21"/>
      <c r="BS22" s="19"/>
      <c r="BT22" s="22"/>
      <c r="BU22" s="21"/>
      <c r="BV22" s="19"/>
      <c r="BW22" s="22"/>
      <c r="BX22" s="21"/>
      <c r="BY22" s="19"/>
      <c r="BZ22" s="22"/>
      <c r="CA22" s="21"/>
      <c r="CB22" s="19"/>
      <c r="CC22" s="22"/>
      <c r="CD22" s="21"/>
      <c r="CE22" s="19"/>
      <c r="CF22" s="22"/>
      <c r="CG22" s="21"/>
      <c r="CH22" s="19"/>
      <c r="CI22" s="22"/>
      <c r="CJ22" s="21"/>
      <c r="CK22" s="19"/>
      <c r="CL22" s="22"/>
      <c r="CM22" s="21"/>
      <c r="CN22" s="19"/>
      <c r="CO22" s="22"/>
      <c r="CP22" s="21"/>
      <c r="CQ22" s="19"/>
      <c r="CR22" s="22"/>
      <c r="CS22" s="21"/>
      <c r="CT22" s="19"/>
      <c r="CU22" s="19"/>
    </row>
    <row r="23" ht="19.5" customHeight="1">
      <c r="A23" s="12"/>
      <c r="B23" s="24" t="s">
        <v>24</v>
      </c>
      <c r="C23" s="14" t="s">
        <v>7</v>
      </c>
      <c r="D23" s="15">
        <v>3.05</v>
      </c>
      <c r="E23" s="16"/>
      <c r="F23" s="17"/>
      <c r="G23" s="18"/>
      <c r="H23" s="16"/>
      <c r="I23" s="17"/>
      <c r="J23" s="18"/>
      <c r="K23" s="16"/>
      <c r="L23" s="17"/>
      <c r="M23" s="18"/>
      <c r="N23" s="19"/>
      <c r="O23" s="20"/>
      <c r="P23" s="21"/>
      <c r="Q23" s="19"/>
      <c r="R23" s="20"/>
      <c r="S23" s="21"/>
      <c r="T23" s="19"/>
      <c r="U23" s="20"/>
      <c r="V23" s="21"/>
      <c r="W23" s="19"/>
      <c r="X23" s="20"/>
      <c r="Y23" s="21"/>
      <c r="Z23" s="19"/>
      <c r="AA23" s="22"/>
      <c r="AB23" s="21"/>
      <c r="AC23" s="19"/>
      <c r="AD23" s="22"/>
      <c r="AE23" s="21"/>
      <c r="AF23" s="19"/>
      <c r="AG23" s="22"/>
      <c r="AH23" s="21"/>
      <c r="AI23" s="19"/>
      <c r="AJ23" s="22"/>
      <c r="AK23" s="21"/>
      <c r="AL23" s="19"/>
      <c r="AM23" s="22"/>
      <c r="AN23" s="21"/>
      <c r="AO23" s="19"/>
      <c r="AP23" s="22"/>
      <c r="AQ23" s="21"/>
      <c r="AR23" s="19"/>
      <c r="AS23" s="22"/>
      <c r="AT23" s="21"/>
      <c r="AU23" s="19"/>
      <c r="AV23" s="22"/>
      <c r="AW23" s="21"/>
      <c r="AX23" s="19"/>
      <c r="AY23" s="22"/>
      <c r="AZ23" s="21"/>
      <c r="BA23" s="19"/>
      <c r="BB23" s="22"/>
      <c r="BC23" s="21"/>
      <c r="BD23" s="19"/>
      <c r="BE23" s="22"/>
      <c r="BF23" s="21"/>
      <c r="BG23" s="19"/>
      <c r="BH23" s="22"/>
      <c r="BI23" s="21"/>
      <c r="BJ23" s="19"/>
      <c r="BK23" s="22"/>
      <c r="BL23" s="21"/>
      <c r="BM23" s="19"/>
      <c r="BN23" s="22"/>
      <c r="BO23" s="21"/>
      <c r="BP23" s="19"/>
      <c r="BQ23" s="22"/>
      <c r="BR23" s="21"/>
      <c r="BS23" s="19"/>
      <c r="BT23" s="22"/>
      <c r="BU23" s="21"/>
      <c r="BV23" s="19"/>
      <c r="BW23" s="22"/>
      <c r="BX23" s="21"/>
      <c r="BY23" s="19"/>
      <c r="BZ23" s="22"/>
      <c r="CA23" s="21"/>
      <c r="CB23" s="19"/>
      <c r="CC23" s="22"/>
      <c r="CD23" s="21"/>
      <c r="CE23" s="19"/>
      <c r="CF23" s="22"/>
      <c r="CG23" s="21"/>
      <c r="CH23" s="19"/>
      <c r="CI23" s="22"/>
      <c r="CJ23" s="21"/>
      <c r="CK23" s="19"/>
      <c r="CL23" s="22"/>
      <c r="CM23" s="21"/>
      <c r="CN23" s="19"/>
      <c r="CO23" s="22"/>
      <c r="CP23" s="21"/>
      <c r="CQ23" s="19"/>
      <c r="CR23" s="22"/>
      <c r="CS23" s="21"/>
      <c r="CT23" s="19"/>
      <c r="CU23" s="19"/>
    </row>
    <row r="24" ht="19.5" customHeight="1">
      <c r="A24" s="12"/>
      <c r="B24" s="24"/>
      <c r="C24" s="23"/>
      <c r="D24" s="15"/>
      <c r="E24" s="16"/>
      <c r="F24" s="17"/>
      <c r="G24" s="18"/>
      <c r="H24" s="16"/>
      <c r="I24" s="17"/>
      <c r="J24" s="18"/>
      <c r="K24" s="16"/>
      <c r="L24" s="17"/>
      <c r="M24" s="18"/>
      <c r="N24" s="19"/>
      <c r="O24" s="20"/>
      <c r="P24" s="21"/>
      <c r="Q24" s="19"/>
      <c r="R24" s="20"/>
      <c r="S24" s="21"/>
      <c r="T24" s="19"/>
      <c r="U24" s="20"/>
      <c r="V24" s="21"/>
      <c r="W24" s="19"/>
      <c r="X24" s="20"/>
      <c r="Y24" s="21"/>
      <c r="Z24" s="19"/>
      <c r="AA24" s="22"/>
      <c r="AB24" s="21"/>
      <c r="AC24" s="19"/>
      <c r="AD24" s="22"/>
      <c r="AE24" s="21"/>
      <c r="AF24" s="19"/>
      <c r="AG24" s="22"/>
      <c r="AH24" s="21"/>
      <c r="AI24" s="19"/>
      <c r="AJ24" s="22"/>
      <c r="AK24" s="21"/>
      <c r="AL24" s="19"/>
      <c r="AM24" s="22"/>
      <c r="AN24" s="21"/>
      <c r="AO24" s="19"/>
      <c r="AP24" s="22"/>
      <c r="AQ24" s="21"/>
      <c r="AR24" s="19"/>
      <c r="AS24" s="22"/>
      <c r="AT24" s="21"/>
      <c r="AU24" s="19"/>
      <c r="AV24" s="22"/>
      <c r="AW24" s="21"/>
      <c r="AX24" s="19"/>
      <c r="AY24" s="22"/>
      <c r="AZ24" s="21"/>
      <c r="BA24" s="19"/>
      <c r="BB24" s="22"/>
      <c r="BC24" s="21"/>
      <c r="BD24" s="19"/>
      <c r="BE24" s="22"/>
      <c r="BF24" s="21"/>
      <c r="BG24" s="19"/>
      <c r="BH24" s="22"/>
      <c r="BI24" s="21"/>
      <c r="BJ24" s="19"/>
      <c r="BK24" s="22"/>
      <c r="BL24" s="21"/>
      <c r="BM24" s="19"/>
      <c r="BN24" s="22"/>
      <c r="BO24" s="21"/>
      <c r="BP24" s="19"/>
      <c r="BQ24" s="22"/>
      <c r="BR24" s="21"/>
      <c r="BS24" s="19"/>
      <c r="BT24" s="22"/>
      <c r="BU24" s="21"/>
      <c r="BV24" s="19"/>
      <c r="BW24" s="22"/>
      <c r="BX24" s="21"/>
      <c r="BY24" s="19"/>
      <c r="BZ24" s="22"/>
      <c r="CA24" s="21"/>
      <c r="CB24" s="19"/>
      <c r="CC24" s="22"/>
      <c r="CD24" s="21"/>
      <c r="CE24" s="19"/>
      <c r="CF24" s="22"/>
      <c r="CG24" s="21"/>
      <c r="CH24" s="19"/>
      <c r="CI24" s="22"/>
      <c r="CJ24" s="21"/>
      <c r="CK24" s="19"/>
      <c r="CL24" s="22"/>
      <c r="CM24" s="21"/>
      <c r="CN24" s="19"/>
      <c r="CO24" s="22"/>
      <c r="CP24" s="21"/>
      <c r="CQ24" s="19"/>
      <c r="CR24" s="22"/>
      <c r="CS24" s="21"/>
      <c r="CT24" s="19"/>
      <c r="CU24" s="19"/>
    </row>
    <row r="25" ht="19.5" customHeight="1">
      <c r="A25" s="12"/>
      <c r="B25" s="29" t="s">
        <v>25</v>
      </c>
      <c r="C25" s="23"/>
      <c r="D25" s="15">
        <v>24.0</v>
      </c>
      <c r="E25" s="16"/>
      <c r="F25" s="17"/>
      <c r="G25" s="18"/>
      <c r="H25" s="16"/>
      <c r="I25" s="17"/>
      <c r="J25" s="18"/>
      <c r="K25" s="16"/>
      <c r="L25" s="17"/>
      <c r="M25" s="18"/>
      <c r="N25" s="19"/>
      <c r="O25" s="20"/>
      <c r="P25" s="21"/>
      <c r="Q25" s="19"/>
      <c r="R25" s="20"/>
      <c r="S25" s="21"/>
      <c r="T25" s="19"/>
      <c r="U25" s="20"/>
      <c r="V25" s="21"/>
      <c r="W25" s="19"/>
      <c r="X25" s="20"/>
      <c r="Y25" s="21"/>
      <c r="Z25" s="19"/>
      <c r="AA25" s="22"/>
      <c r="AB25" s="21"/>
      <c r="AC25" s="19"/>
      <c r="AD25" s="22"/>
      <c r="AE25" s="21"/>
      <c r="AF25" s="19"/>
      <c r="AG25" s="22"/>
      <c r="AH25" s="21"/>
      <c r="AI25" s="19"/>
      <c r="AJ25" s="22"/>
      <c r="AK25" s="21"/>
      <c r="AL25" s="19"/>
      <c r="AM25" s="22"/>
      <c r="AN25" s="21"/>
      <c r="AO25" s="19"/>
      <c r="AP25" s="22"/>
      <c r="AQ25" s="21"/>
      <c r="AR25" s="19"/>
      <c r="AS25" s="22"/>
      <c r="AT25" s="21"/>
      <c r="AU25" s="19"/>
      <c r="AV25" s="22"/>
      <c r="AW25" s="21"/>
      <c r="AX25" s="19"/>
      <c r="AY25" s="22"/>
      <c r="AZ25" s="21"/>
      <c r="BA25" s="19"/>
      <c r="BB25" s="22"/>
      <c r="BC25" s="21"/>
      <c r="BD25" s="19"/>
      <c r="BE25" s="22"/>
      <c r="BF25" s="21"/>
      <c r="BG25" s="19"/>
      <c r="BH25" s="22"/>
      <c r="BI25" s="21"/>
      <c r="BJ25" s="19"/>
      <c r="BK25" s="22"/>
      <c r="BL25" s="21"/>
      <c r="BM25" s="19"/>
      <c r="BN25" s="22"/>
      <c r="BO25" s="21"/>
      <c r="BP25" s="19"/>
      <c r="BQ25" s="22"/>
      <c r="BR25" s="21"/>
      <c r="BS25" s="19"/>
      <c r="BT25" s="22"/>
      <c r="BU25" s="21"/>
      <c r="BV25" s="19"/>
      <c r="BW25" s="22"/>
      <c r="BX25" s="21"/>
      <c r="BY25" s="19"/>
      <c r="BZ25" s="22"/>
      <c r="CA25" s="21"/>
      <c r="CB25" s="19"/>
      <c r="CC25" s="22"/>
      <c r="CD25" s="21"/>
      <c r="CE25" s="19"/>
      <c r="CF25" s="22"/>
      <c r="CG25" s="21"/>
      <c r="CH25" s="19"/>
      <c r="CI25" s="22"/>
      <c r="CJ25" s="21"/>
      <c r="CK25" s="19"/>
      <c r="CL25" s="22"/>
      <c r="CM25" s="21"/>
      <c r="CN25" s="19"/>
      <c r="CO25" s="22"/>
      <c r="CP25" s="21"/>
      <c r="CQ25" s="19"/>
      <c r="CR25" s="22"/>
      <c r="CS25" s="21"/>
      <c r="CT25" s="19"/>
      <c r="CU25" s="19"/>
    </row>
    <row r="26" ht="19.5" customHeight="1">
      <c r="A26" s="12"/>
      <c r="B26" s="29" t="s">
        <v>26</v>
      </c>
      <c r="C26" s="23"/>
      <c r="D26" s="15">
        <v>24.0</v>
      </c>
      <c r="E26" s="16"/>
      <c r="F26" s="17"/>
      <c r="G26" s="18"/>
      <c r="H26" s="16"/>
      <c r="I26" s="17"/>
      <c r="J26" s="18"/>
      <c r="K26" s="16"/>
      <c r="L26" s="17"/>
      <c r="M26" s="18"/>
      <c r="N26" s="19"/>
      <c r="O26" s="20"/>
      <c r="P26" s="21"/>
      <c r="Q26" s="19"/>
      <c r="R26" s="20"/>
      <c r="S26" s="21"/>
      <c r="T26" s="19"/>
      <c r="U26" s="20"/>
      <c r="V26" s="21"/>
      <c r="W26" s="19"/>
      <c r="X26" s="20"/>
      <c r="Y26" s="21"/>
      <c r="Z26" s="19"/>
      <c r="AA26" s="22"/>
      <c r="AB26" s="21"/>
      <c r="AC26" s="19"/>
      <c r="AD26" s="22"/>
      <c r="AE26" s="21"/>
      <c r="AF26" s="19"/>
      <c r="AG26" s="22"/>
      <c r="AH26" s="21"/>
      <c r="AI26" s="19"/>
      <c r="AJ26" s="22"/>
      <c r="AK26" s="21"/>
      <c r="AL26" s="19"/>
      <c r="AM26" s="22"/>
      <c r="AN26" s="21"/>
      <c r="AO26" s="19"/>
      <c r="AP26" s="22"/>
      <c r="AQ26" s="21"/>
      <c r="AR26" s="19"/>
      <c r="AS26" s="22"/>
      <c r="AT26" s="21"/>
      <c r="AU26" s="19"/>
      <c r="AV26" s="22"/>
      <c r="AW26" s="21"/>
      <c r="AX26" s="19"/>
      <c r="AY26" s="22"/>
      <c r="AZ26" s="21"/>
      <c r="BA26" s="19"/>
      <c r="BB26" s="22"/>
      <c r="BC26" s="21"/>
      <c r="BD26" s="19"/>
      <c r="BE26" s="22"/>
      <c r="BF26" s="21"/>
      <c r="BG26" s="19"/>
      <c r="BH26" s="22"/>
      <c r="BI26" s="21"/>
      <c r="BJ26" s="19"/>
      <c r="BK26" s="22"/>
      <c r="BL26" s="21"/>
      <c r="BM26" s="19"/>
      <c r="BN26" s="22"/>
      <c r="BO26" s="21"/>
      <c r="BP26" s="19"/>
      <c r="BQ26" s="22"/>
      <c r="BR26" s="21"/>
      <c r="BS26" s="19"/>
      <c r="BT26" s="22"/>
      <c r="BU26" s="21"/>
      <c r="BV26" s="19"/>
      <c r="BW26" s="22"/>
      <c r="BX26" s="21"/>
      <c r="BY26" s="19"/>
      <c r="BZ26" s="22"/>
      <c r="CA26" s="21"/>
      <c r="CB26" s="19"/>
      <c r="CC26" s="22"/>
      <c r="CD26" s="21"/>
      <c r="CE26" s="19"/>
      <c r="CF26" s="22"/>
      <c r="CG26" s="21"/>
      <c r="CH26" s="19"/>
      <c r="CI26" s="22"/>
      <c r="CJ26" s="21"/>
      <c r="CK26" s="19"/>
      <c r="CL26" s="22"/>
      <c r="CM26" s="21"/>
      <c r="CN26" s="19"/>
      <c r="CO26" s="22"/>
      <c r="CP26" s="21"/>
      <c r="CQ26" s="19"/>
      <c r="CR26" s="22"/>
      <c r="CS26" s="21"/>
      <c r="CT26" s="19"/>
      <c r="CU26" s="19"/>
    </row>
    <row r="27">
      <c r="A27" s="12"/>
      <c r="B27" s="24"/>
      <c r="C27" s="23"/>
      <c r="D27" s="15"/>
      <c r="E27" s="16"/>
      <c r="F27" s="17"/>
      <c r="G27" s="18"/>
      <c r="H27" s="16"/>
      <c r="I27" s="17"/>
      <c r="J27" s="18"/>
      <c r="K27" s="16"/>
      <c r="L27" s="17"/>
      <c r="M27" s="18"/>
      <c r="N27" s="19"/>
      <c r="O27" s="20"/>
      <c r="P27" s="21"/>
      <c r="Q27" s="19"/>
      <c r="R27" s="20"/>
      <c r="S27" s="21"/>
      <c r="T27" s="19"/>
      <c r="U27" s="20"/>
      <c r="V27" s="21"/>
      <c r="W27" s="19"/>
      <c r="X27" s="20"/>
      <c r="Y27" s="21"/>
      <c r="Z27" s="19"/>
      <c r="AA27" s="22"/>
      <c r="AB27" s="21"/>
      <c r="AC27" s="19"/>
      <c r="AD27" s="22"/>
      <c r="AE27" s="21"/>
      <c r="AF27" s="19"/>
      <c r="AG27" s="22"/>
      <c r="AH27" s="21"/>
      <c r="AI27" s="19"/>
      <c r="AJ27" s="22"/>
      <c r="AK27" s="21"/>
      <c r="AL27" s="19"/>
      <c r="AM27" s="22"/>
      <c r="AN27" s="21"/>
      <c r="AO27" s="19"/>
      <c r="AP27" s="22"/>
      <c r="AQ27" s="21"/>
      <c r="AR27" s="19"/>
      <c r="AS27" s="22"/>
      <c r="AT27" s="21"/>
      <c r="AU27" s="19"/>
      <c r="AV27" s="22"/>
      <c r="AW27" s="21"/>
      <c r="AX27" s="19"/>
      <c r="AY27" s="22"/>
      <c r="AZ27" s="21"/>
      <c r="BA27" s="19"/>
      <c r="BB27" s="22"/>
      <c r="BC27" s="21"/>
      <c r="BD27" s="19"/>
      <c r="BE27" s="22"/>
      <c r="BF27" s="21"/>
      <c r="BG27" s="19"/>
      <c r="BH27" s="22"/>
      <c r="BI27" s="21"/>
      <c r="BJ27" s="19"/>
      <c r="BK27" s="22"/>
      <c r="BL27" s="21"/>
      <c r="BM27" s="19"/>
      <c r="BN27" s="22"/>
      <c r="BO27" s="21"/>
      <c r="BP27" s="19"/>
      <c r="BQ27" s="22"/>
      <c r="BR27" s="21"/>
      <c r="BS27" s="19"/>
      <c r="BT27" s="22"/>
      <c r="BU27" s="21"/>
      <c r="BV27" s="19"/>
      <c r="BW27" s="22"/>
      <c r="BX27" s="21"/>
      <c r="BY27" s="19"/>
      <c r="BZ27" s="22"/>
      <c r="CA27" s="21"/>
      <c r="CB27" s="19"/>
      <c r="CC27" s="22"/>
      <c r="CD27" s="21"/>
      <c r="CE27" s="19"/>
      <c r="CF27" s="22"/>
      <c r="CG27" s="21"/>
      <c r="CH27" s="19"/>
      <c r="CI27" s="22"/>
      <c r="CJ27" s="21"/>
      <c r="CK27" s="19"/>
      <c r="CL27" s="22"/>
      <c r="CM27" s="21"/>
      <c r="CN27" s="19"/>
      <c r="CO27" s="22"/>
      <c r="CP27" s="21"/>
      <c r="CQ27" s="19"/>
      <c r="CR27" s="22"/>
      <c r="CS27" s="21"/>
      <c r="CT27" s="19"/>
      <c r="CU27" s="19"/>
    </row>
    <row r="28">
      <c r="A28" s="12"/>
      <c r="B28" s="24"/>
      <c r="C28" s="23"/>
      <c r="D28" s="15"/>
      <c r="E28" s="16"/>
      <c r="F28" s="17"/>
      <c r="G28" s="18"/>
      <c r="H28" s="16"/>
      <c r="I28" s="17"/>
      <c r="J28" s="18"/>
      <c r="K28" s="16"/>
      <c r="L28" s="17"/>
      <c r="M28" s="18"/>
      <c r="N28" s="19"/>
      <c r="O28" s="20"/>
      <c r="P28" s="21"/>
      <c r="Q28" s="19"/>
      <c r="R28" s="20"/>
      <c r="S28" s="21"/>
      <c r="T28" s="19"/>
      <c r="U28" s="20"/>
      <c r="V28" s="21"/>
      <c r="W28" s="19"/>
      <c r="X28" s="20"/>
      <c r="Y28" s="21"/>
      <c r="Z28" s="19"/>
      <c r="AA28" s="22"/>
      <c r="AB28" s="21"/>
      <c r="AC28" s="19"/>
      <c r="AD28" s="22"/>
      <c r="AE28" s="21"/>
      <c r="AF28" s="19"/>
      <c r="AG28" s="22"/>
      <c r="AH28" s="21"/>
      <c r="AI28" s="19"/>
      <c r="AJ28" s="22"/>
      <c r="AK28" s="21"/>
      <c r="AL28" s="19"/>
      <c r="AM28" s="22"/>
      <c r="AN28" s="21"/>
      <c r="AO28" s="19"/>
      <c r="AP28" s="22"/>
      <c r="AQ28" s="21"/>
      <c r="AR28" s="19"/>
      <c r="AS28" s="22"/>
      <c r="AT28" s="21"/>
      <c r="AU28" s="19"/>
      <c r="AV28" s="22"/>
      <c r="AW28" s="21"/>
      <c r="AX28" s="19"/>
      <c r="AY28" s="22"/>
      <c r="AZ28" s="21"/>
      <c r="BA28" s="19"/>
      <c r="BB28" s="22"/>
      <c r="BC28" s="21"/>
      <c r="BD28" s="19"/>
      <c r="BE28" s="22"/>
      <c r="BF28" s="21"/>
      <c r="BG28" s="19"/>
      <c r="BH28" s="22"/>
      <c r="BI28" s="21"/>
      <c r="BJ28" s="19"/>
      <c r="BK28" s="22"/>
      <c r="BL28" s="21"/>
      <c r="BM28" s="19"/>
      <c r="BN28" s="22"/>
      <c r="BO28" s="21"/>
      <c r="BP28" s="19"/>
      <c r="BQ28" s="22"/>
      <c r="BR28" s="21"/>
      <c r="BS28" s="19"/>
      <c r="BT28" s="22"/>
      <c r="BU28" s="21"/>
      <c r="BV28" s="19"/>
      <c r="BW28" s="22"/>
      <c r="BX28" s="21"/>
      <c r="BY28" s="19"/>
      <c r="BZ28" s="22"/>
      <c r="CA28" s="21"/>
      <c r="CB28" s="19"/>
      <c r="CC28" s="22"/>
      <c r="CD28" s="21"/>
      <c r="CE28" s="19"/>
      <c r="CF28" s="22"/>
      <c r="CG28" s="21"/>
      <c r="CH28" s="19"/>
      <c r="CI28" s="22"/>
      <c r="CJ28" s="21"/>
      <c r="CK28" s="19"/>
      <c r="CL28" s="22"/>
      <c r="CM28" s="21"/>
      <c r="CN28" s="19"/>
      <c r="CO28" s="22"/>
      <c r="CP28" s="21"/>
      <c r="CQ28" s="19"/>
      <c r="CR28" s="22"/>
      <c r="CS28" s="21"/>
      <c r="CT28" s="19"/>
      <c r="CU28" s="19"/>
    </row>
    <row r="29">
      <c r="A29" s="12"/>
      <c r="B29" s="24"/>
      <c r="C29" s="23"/>
      <c r="D29" s="15"/>
      <c r="E29" s="16"/>
      <c r="F29" s="17"/>
      <c r="G29" s="18"/>
      <c r="H29" s="16"/>
      <c r="I29" s="17"/>
      <c r="J29" s="18"/>
      <c r="K29" s="16"/>
      <c r="L29" s="17"/>
      <c r="M29" s="18"/>
      <c r="N29" s="19"/>
      <c r="O29" s="20"/>
      <c r="P29" s="21"/>
      <c r="Q29" s="19"/>
      <c r="R29" s="20"/>
      <c r="S29" s="21"/>
      <c r="T29" s="19"/>
      <c r="U29" s="20"/>
      <c r="V29" s="21"/>
      <c r="W29" s="19"/>
      <c r="X29" s="20"/>
      <c r="Y29" s="21"/>
      <c r="Z29" s="19"/>
      <c r="AA29" s="22"/>
      <c r="AB29" s="21"/>
      <c r="AC29" s="19"/>
      <c r="AD29" s="22"/>
      <c r="AE29" s="21"/>
      <c r="AF29" s="19"/>
      <c r="AG29" s="22"/>
      <c r="AH29" s="21"/>
      <c r="AI29" s="19"/>
      <c r="AJ29" s="22"/>
      <c r="AK29" s="21"/>
      <c r="AL29" s="19"/>
      <c r="AM29" s="22"/>
      <c r="AN29" s="21"/>
      <c r="AO29" s="19"/>
      <c r="AP29" s="22"/>
      <c r="AQ29" s="21"/>
      <c r="AR29" s="19"/>
      <c r="AS29" s="22"/>
      <c r="AT29" s="21"/>
      <c r="AU29" s="19"/>
      <c r="AV29" s="22"/>
      <c r="AW29" s="21"/>
      <c r="AX29" s="19"/>
      <c r="AY29" s="22"/>
      <c r="AZ29" s="21"/>
      <c r="BA29" s="19"/>
      <c r="BB29" s="22"/>
      <c r="BC29" s="21"/>
      <c r="BD29" s="19"/>
      <c r="BE29" s="22"/>
      <c r="BF29" s="21"/>
      <c r="BG29" s="19"/>
      <c r="BH29" s="22"/>
      <c r="BI29" s="21"/>
      <c r="BJ29" s="19"/>
      <c r="BK29" s="22"/>
      <c r="BL29" s="21"/>
      <c r="BM29" s="19"/>
      <c r="BN29" s="22"/>
      <c r="BO29" s="21"/>
      <c r="BP29" s="19"/>
      <c r="BQ29" s="22"/>
      <c r="BR29" s="21"/>
      <c r="BS29" s="19"/>
      <c r="BT29" s="22"/>
      <c r="BU29" s="21"/>
      <c r="BV29" s="19"/>
      <c r="BW29" s="22"/>
      <c r="BX29" s="21"/>
      <c r="BY29" s="19"/>
      <c r="BZ29" s="22"/>
      <c r="CA29" s="21"/>
      <c r="CB29" s="19"/>
      <c r="CC29" s="22"/>
      <c r="CD29" s="21"/>
      <c r="CE29" s="19"/>
      <c r="CF29" s="22"/>
      <c r="CG29" s="21"/>
      <c r="CH29" s="19"/>
      <c r="CI29" s="22"/>
      <c r="CJ29" s="21"/>
      <c r="CK29" s="19"/>
      <c r="CL29" s="22"/>
      <c r="CM29" s="21"/>
      <c r="CN29" s="19"/>
      <c r="CO29" s="22"/>
      <c r="CP29" s="21"/>
      <c r="CQ29" s="19"/>
      <c r="CR29" s="22"/>
      <c r="CS29" s="21"/>
      <c r="CT29" s="19"/>
      <c r="CU29" s="19"/>
    </row>
    <row r="30">
      <c r="A30" s="12">
        <v>1.0</v>
      </c>
      <c r="B30" s="24" t="s">
        <v>27</v>
      </c>
      <c r="C30" s="30"/>
      <c r="D30" s="31"/>
      <c r="E30" s="16"/>
      <c r="F30" s="17"/>
      <c r="G30" s="32"/>
      <c r="H30" s="16"/>
      <c r="I30" s="17"/>
      <c r="J30" s="32"/>
      <c r="K30" s="16"/>
      <c r="L30" s="17"/>
      <c r="M30" s="32"/>
      <c r="N30" s="19"/>
      <c r="O30" s="20"/>
      <c r="P30" s="33"/>
      <c r="Q30" s="19"/>
      <c r="R30" s="20"/>
      <c r="S30" s="33"/>
      <c r="T30" s="19"/>
      <c r="U30" s="20"/>
      <c r="V30" s="33"/>
      <c r="W30" s="19"/>
      <c r="X30" s="20"/>
      <c r="Y30" s="33"/>
      <c r="Z30" s="19"/>
      <c r="AA30" s="22"/>
      <c r="AB30" s="33"/>
      <c r="AC30" s="19"/>
      <c r="AD30" s="22"/>
      <c r="AE30" s="33"/>
      <c r="AF30" s="19"/>
      <c r="AG30" s="22"/>
      <c r="AH30" s="33"/>
      <c r="AI30" s="19"/>
      <c r="AJ30" s="22"/>
      <c r="AK30" s="33"/>
      <c r="AL30" s="19"/>
      <c r="AM30" s="22"/>
      <c r="AN30" s="33"/>
      <c r="AO30" s="19"/>
      <c r="AP30" s="22"/>
      <c r="AQ30" s="33"/>
      <c r="AR30" s="19"/>
      <c r="AS30" s="22"/>
      <c r="AT30" s="33"/>
      <c r="AU30" s="19"/>
      <c r="AV30" s="22"/>
      <c r="AW30" s="33"/>
      <c r="AX30" s="19"/>
      <c r="AY30" s="22"/>
      <c r="AZ30" s="33"/>
      <c r="BA30" s="19"/>
      <c r="BB30" s="22"/>
      <c r="BC30" s="33"/>
      <c r="BD30" s="19"/>
      <c r="BE30" s="22"/>
      <c r="BF30" s="33"/>
      <c r="BG30" s="19"/>
      <c r="BH30" s="22"/>
      <c r="BI30" s="33"/>
      <c r="BJ30" s="19"/>
      <c r="BK30" s="22"/>
      <c r="BL30" s="33"/>
      <c r="BM30" s="19"/>
      <c r="BN30" s="22"/>
      <c r="BO30" s="33"/>
      <c r="BP30" s="19"/>
      <c r="BQ30" s="22"/>
      <c r="BR30" s="33"/>
      <c r="BS30" s="19"/>
      <c r="BT30" s="22"/>
      <c r="BU30" s="33"/>
      <c r="BV30" s="19"/>
      <c r="BW30" s="22"/>
      <c r="BX30" s="33"/>
      <c r="BY30" s="19"/>
      <c r="BZ30" s="22"/>
      <c r="CA30" s="33"/>
      <c r="CB30" s="19"/>
      <c r="CC30" s="22"/>
      <c r="CD30" s="33"/>
      <c r="CE30" s="19"/>
      <c r="CF30" s="22"/>
      <c r="CG30" s="33"/>
      <c r="CH30" s="19"/>
      <c r="CI30" s="22"/>
      <c r="CJ30" s="33"/>
      <c r="CK30" s="19"/>
      <c r="CL30" s="22"/>
      <c r="CM30" s="33"/>
      <c r="CN30" s="19"/>
      <c r="CO30" s="22"/>
      <c r="CP30" s="33"/>
      <c r="CQ30" s="19"/>
      <c r="CR30" s="22"/>
      <c r="CS30" s="33"/>
      <c r="CT30" s="19"/>
      <c r="CU30" s="19"/>
    </row>
    <row r="31">
      <c r="A31" s="12">
        <v>2.0</v>
      </c>
      <c r="B31" s="24" t="s">
        <v>15</v>
      </c>
      <c r="C31" s="30"/>
      <c r="D31" s="31"/>
      <c r="E31" s="16"/>
      <c r="F31" s="17"/>
      <c r="G31" s="32"/>
      <c r="H31" s="16"/>
      <c r="I31" s="17"/>
      <c r="J31" s="32"/>
      <c r="K31" s="16"/>
      <c r="L31" s="17"/>
      <c r="M31" s="32"/>
      <c r="N31" s="19"/>
      <c r="O31" s="20"/>
      <c r="P31" s="33"/>
      <c r="Q31" s="19"/>
      <c r="R31" s="20"/>
      <c r="S31" s="33"/>
      <c r="T31" s="19"/>
      <c r="U31" s="20"/>
      <c r="V31" s="33"/>
      <c r="W31" s="19"/>
      <c r="X31" s="22"/>
      <c r="Y31" s="33"/>
      <c r="Z31" s="19"/>
      <c r="AA31" s="22"/>
      <c r="AB31" s="33"/>
      <c r="AC31" s="19"/>
      <c r="AD31" s="22"/>
      <c r="AE31" s="33"/>
      <c r="AF31" s="19"/>
      <c r="AG31" s="22"/>
      <c r="AH31" s="33"/>
      <c r="AI31" s="19"/>
      <c r="AJ31" s="22"/>
      <c r="AK31" s="33"/>
      <c r="AL31" s="19"/>
      <c r="AM31" s="22"/>
      <c r="AN31" s="33"/>
      <c r="AO31" s="19"/>
      <c r="AP31" s="22"/>
      <c r="AQ31" s="33"/>
      <c r="AR31" s="19"/>
      <c r="AS31" s="22"/>
      <c r="AT31" s="33"/>
      <c r="AU31" s="19"/>
      <c r="AV31" s="22"/>
      <c r="AW31" s="33"/>
      <c r="AX31" s="19"/>
      <c r="AY31" s="22"/>
      <c r="AZ31" s="33"/>
      <c r="BA31" s="19"/>
      <c r="BB31" s="22"/>
      <c r="BC31" s="33"/>
      <c r="BD31" s="19"/>
      <c r="BE31" s="22"/>
      <c r="BF31" s="33"/>
      <c r="BG31" s="19"/>
      <c r="BH31" s="22"/>
      <c r="BI31" s="33"/>
      <c r="BJ31" s="19"/>
      <c r="BK31" s="22"/>
      <c r="BL31" s="33"/>
      <c r="BM31" s="19"/>
      <c r="BN31" s="22"/>
      <c r="BO31" s="33"/>
      <c r="BP31" s="19"/>
      <c r="BQ31" s="22"/>
      <c r="BR31" s="33"/>
      <c r="BS31" s="19"/>
      <c r="BT31" s="22"/>
      <c r="BU31" s="33"/>
      <c r="BV31" s="19"/>
      <c r="BW31" s="22"/>
      <c r="BX31" s="33"/>
      <c r="BY31" s="19"/>
      <c r="BZ31" s="22"/>
      <c r="CA31" s="33"/>
      <c r="CB31" s="19"/>
      <c r="CC31" s="22"/>
      <c r="CD31" s="33"/>
      <c r="CE31" s="19"/>
      <c r="CF31" s="22"/>
      <c r="CG31" s="33"/>
      <c r="CH31" s="19"/>
      <c r="CI31" s="22"/>
      <c r="CJ31" s="33"/>
      <c r="CK31" s="19"/>
      <c r="CL31" s="22"/>
      <c r="CM31" s="33"/>
      <c r="CN31" s="19"/>
      <c r="CO31" s="22"/>
      <c r="CP31" s="33"/>
      <c r="CQ31" s="19"/>
      <c r="CR31" s="22"/>
      <c r="CS31" s="33"/>
      <c r="CT31" s="19"/>
      <c r="CU31" s="19"/>
    </row>
    <row r="32">
      <c r="A32" s="12">
        <v>3.0</v>
      </c>
      <c r="B32" s="24" t="s">
        <v>28</v>
      </c>
      <c r="C32" s="30"/>
      <c r="D32" s="31"/>
      <c r="E32" s="28"/>
      <c r="F32" s="17"/>
      <c r="G32" s="32"/>
      <c r="H32" s="16"/>
      <c r="I32" s="17"/>
      <c r="J32" s="32"/>
      <c r="K32" s="16"/>
      <c r="L32" s="17"/>
      <c r="M32" s="32"/>
      <c r="N32" s="19"/>
      <c r="O32" s="20"/>
      <c r="P32" s="33"/>
      <c r="Q32" s="19"/>
      <c r="R32" s="20"/>
      <c r="S32" s="33"/>
      <c r="T32" s="19"/>
      <c r="U32" s="20"/>
      <c r="V32" s="33"/>
      <c r="W32" s="19"/>
      <c r="X32" s="22"/>
      <c r="Y32" s="33"/>
      <c r="Z32" s="19"/>
      <c r="AA32" s="22"/>
      <c r="AB32" s="33"/>
      <c r="AC32" s="19"/>
      <c r="AD32" s="22"/>
      <c r="AE32" s="33"/>
      <c r="AF32" s="19"/>
      <c r="AG32" s="22"/>
      <c r="AH32" s="33"/>
      <c r="AI32" s="19"/>
      <c r="AJ32" s="22"/>
      <c r="AK32" s="33"/>
      <c r="AL32" s="19"/>
      <c r="AM32" s="22"/>
      <c r="AN32" s="33"/>
      <c r="AO32" s="19"/>
      <c r="AP32" s="22"/>
      <c r="AQ32" s="33"/>
      <c r="AR32" s="19"/>
      <c r="AS32" s="22"/>
      <c r="AT32" s="33"/>
      <c r="AU32" s="19"/>
      <c r="AV32" s="22"/>
      <c r="AW32" s="33"/>
      <c r="AX32" s="19"/>
      <c r="AY32" s="22"/>
      <c r="AZ32" s="33"/>
      <c r="BA32" s="19"/>
      <c r="BB32" s="22"/>
      <c r="BC32" s="33"/>
      <c r="BD32" s="19"/>
      <c r="BE32" s="22"/>
      <c r="BF32" s="33"/>
      <c r="BG32" s="19"/>
      <c r="BH32" s="22"/>
      <c r="BI32" s="33"/>
      <c r="BJ32" s="19"/>
      <c r="BK32" s="22"/>
      <c r="BL32" s="33"/>
      <c r="BM32" s="19"/>
      <c r="BN32" s="22"/>
      <c r="BO32" s="33"/>
      <c r="BP32" s="19"/>
      <c r="BQ32" s="22"/>
      <c r="BR32" s="33"/>
      <c r="BS32" s="19"/>
      <c r="BT32" s="22"/>
      <c r="BU32" s="33"/>
      <c r="BV32" s="19"/>
      <c r="BW32" s="22"/>
      <c r="BX32" s="33"/>
      <c r="BY32" s="19"/>
      <c r="BZ32" s="22"/>
      <c r="CA32" s="33"/>
      <c r="CB32" s="19"/>
      <c r="CC32" s="22"/>
      <c r="CD32" s="33"/>
      <c r="CE32" s="19"/>
      <c r="CF32" s="22"/>
      <c r="CG32" s="33"/>
      <c r="CH32" s="19"/>
      <c r="CI32" s="22"/>
      <c r="CJ32" s="33"/>
      <c r="CK32" s="19"/>
      <c r="CL32" s="22"/>
      <c r="CM32" s="33"/>
      <c r="CN32" s="19"/>
      <c r="CO32" s="22"/>
      <c r="CP32" s="33"/>
      <c r="CQ32" s="19"/>
      <c r="CR32" s="22"/>
      <c r="CS32" s="33"/>
      <c r="CT32" s="19"/>
      <c r="CU32" s="19"/>
    </row>
    <row r="33">
      <c r="A33" s="12">
        <v>4.0</v>
      </c>
      <c r="B33" s="24" t="s">
        <v>29</v>
      </c>
      <c r="C33" s="30"/>
      <c r="D33" s="34"/>
      <c r="E33" s="28"/>
      <c r="F33" s="17"/>
      <c r="G33" s="32"/>
      <c r="H33" s="16"/>
      <c r="I33" s="17"/>
      <c r="J33" s="32"/>
      <c r="K33" s="16"/>
      <c r="L33" s="17"/>
      <c r="M33" s="32"/>
      <c r="N33" s="19"/>
      <c r="O33" s="20"/>
      <c r="P33" s="33"/>
      <c r="Q33" s="19"/>
      <c r="R33" s="20"/>
      <c r="S33" s="33"/>
      <c r="T33" s="19"/>
      <c r="U33" s="20"/>
      <c r="V33" s="33"/>
      <c r="W33" s="19"/>
      <c r="X33" s="22"/>
      <c r="Y33" s="33"/>
      <c r="Z33" s="19"/>
      <c r="AA33" s="22"/>
      <c r="AB33" s="33"/>
      <c r="AC33" s="19"/>
      <c r="AD33" s="22"/>
      <c r="AE33" s="33"/>
      <c r="AF33" s="19"/>
      <c r="AG33" s="22"/>
      <c r="AH33" s="33"/>
      <c r="AI33" s="19"/>
      <c r="AJ33" s="22"/>
      <c r="AK33" s="33"/>
      <c r="AL33" s="19"/>
      <c r="AM33" s="22"/>
      <c r="AN33" s="33"/>
      <c r="AO33" s="19"/>
      <c r="AP33" s="22"/>
      <c r="AQ33" s="33"/>
      <c r="AR33" s="19"/>
      <c r="AS33" s="22"/>
      <c r="AT33" s="33"/>
      <c r="AU33" s="19"/>
      <c r="AV33" s="22"/>
      <c r="AW33" s="33"/>
      <c r="AX33" s="19"/>
      <c r="AY33" s="22"/>
      <c r="AZ33" s="33"/>
      <c r="BA33" s="19"/>
      <c r="BB33" s="22"/>
      <c r="BC33" s="33"/>
      <c r="BD33" s="19"/>
      <c r="BE33" s="22"/>
      <c r="BF33" s="33"/>
      <c r="BG33" s="19"/>
      <c r="BH33" s="22"/>
      <c r="BI33" s="33"/>
      <c r="BJ33" s="19"/>
      <c r="BK33" s="22"/>
      <c r="BL33" s="33"/>
      <c r="BM33" s="19"/>
      <c r="BN33" s="22"/>
      <c r="BO33" s="33"/>
      <c r="BP33" s="19"/>
      <c r="BQ33" s="22"/>
      <c r="BR33" s="33"/>
      <c r="BS33" s="19"/>
      <c r="BT33" s="22"/>
      <c r="BU33" s="33"/>
      <c r="BV33" s="19"/>
      <c r="BW33" s="22"/>
      <c r="BX33" s="33"/>
      <c r="BY33" s="19"/>
      <c r="BZ33" s="22"/>
      <c r="CA33" s="33"/>
      <c r="CB33" s="19"/>
      <c r="CC33" s="22"/>
      <c r="CD33" s="33"/>
      <c r="CE33" s="19"/>
      <c r="CF33" s="22"/>
      <c r="CG33" s="33"/>
      <c r="CH33" s="19"/>
      <c r="CI33" s="22"/>
      <c r="CJ33" s="33"/>
      <c r="CK33" s="19"/>
      <c r="CL33" s="22"/>
      <c r="CM33" s="33"/>
      <c r="CN33" s="19"/>
      <c r="CO33" s="22"/>
      <c r="CP33" s="33"/>
      <c r="CQ33" s="19"/>
      <c r="CR33" s="22"/>
      <c r="CS33" s="33"/>
      <c r="CT33" s="19"/>
      <c r="CU33" s="19"/>
    </row>
    <row r="34">
      <c r="A34" s="12">
        <v>5.0</v>
      </c>
      <c r="B34" s="24" t="s">
        <v>23</v>
      </c>
      <c r="C34" s="30"/>
      <c r="D34" s="34"/>
      <c r="E34" s="28"/>
      <c r="F34" s="17"/>
      <c r="G34" s="32"/>
      <c r="H34" s="16"/>
      <c r="I34" s="17"/>
      <c r="J34" s="32"/>
      <c r="K34" s="16"/>
      <c r="L34" s="17"/>
      <c r="M34" s="32"/>
      <c r="N34" s="19"/>
      <c r="O34" s="20"/>
      <c r="P34" s="33"/>
      <c r="Q34" s="19"/>
      <c r="R34" s="20"/>
      <c r="S34" s="33"/>
      <c r="T34" s="19"/>
      <c r="U34" s="20"/>
      <c r="V34" s="33"/>
      <c r="W34" s="19"/>
      <c r="X34" s="22"/>
      <c r="Y34" s="33"/>
      <c r="Z34" s="19"/>
      <c r="AA34" s="22"/>
      <c r="AB34" s="33"/>
      <c r="AC34" s="19"/>
      <c r="AD34" s="22"/>
      <c r="AE34" s="33"/>
      <c r="AF34" s="19"/>
      <c r="AG34" s="22"/>
      <c r="AH34" s="33"/>
      <c r="AI34" s="19"/>
      <c r="AJ34" s="22"/>
      <c r="AK34" s="33"/>
      <c r="AL34" s="19"/>
      <c r="AM34" s="22"/>
      <c r="AN34" s="33"/>
      <c r="AO34" s="19"/>
      <c r="AP34" s="22"/>
      <c r="AQ34" s="33"/>
      <c r="AR34" s="19"/>
      <c r="AS34" s="22"/>
      <c r="AT34" s="33"/>
      <c r="AU34" s="19"/>
      <c r="AV34" s="22"/>
      <c r="AW34" s="33"/>
      <c r="AX34" s="19"/>
      <c r="AY34" s="22"/>
      <c r="AZ34" s="33"/>
      <c r="BA34" s="19"/>
      <c r="BB34" s="22"/>
      <c r="BC34" s="33"/>
      <c r="BD34" s="19"/>
      <c r="BE34" s="22"/>
      <c r="BF34" s="33"/>
      <c r="BG34" s="19"/>
      <c r="BH34" s="22"/>
      <c r="BI34" s="33"/>
      <c r="BJ34" s="19"/>
      <c r="BK34" s="22"/>
      <c r="BL34" s="33"/>
      <c r="BM34" s="19"/>
      <c r="BN34" s="22"/>
      <c r="BO34" s="33"/>
      <c r="BP34" s="19"/>
      <c r="BQ34" s="22"/>
      <c r="BR34" s="33"/>
      <c r="BS34" s="19"/>
      <c r="BT34" s="22"/>
      <c r="BU34" s="33"/>
      <c r="BV34" s="19"/>
      <c r="BW34" s="22"/>
      <c r="BX34" s="33"/>
      <c r="BY34" s="19"/>
      <c r="BZ34" s="22"/>
      <c r="CA34" s="33"/>
      <c r="CB34" s="19"/>
      <c r="CC34" s="22"/>
      <c r="CD34" s="33"/>
      <c r="CE34" s="19"/>
      <c r="CF34" s="22"/>
      <c r="CG34" s="33"/>
      <c r="CH34" s="19"/>
      <c r="CI34" s="22"/>
      <c r="CJ34" s="33"/>
      <c r="CK34" s="19"/>
      <c r="CL34" s="22"/>
      <c r="CM34" s="33"/>
      <c r="CN34" s="19"/>
      <c r="CO34" s="22"/>
      <c r="CP34" s="33"/>
      <c r="CQ34" s="19"/>
      <c r="CR34" s="22"/>
      <c r="CS34" s="33"/>
      <c r="CT34" s="19"/>
      <c r="CU34" s="19"/>
    </row>
    <row r="35">
      <c r="A35" s="12">
        <v>2.0</v>
      </c>
      <c r="B35" s="24" t="s">
        <v>15</v>
      </c>
      <c r="C35" s="30"/>
      <c r="D35" s="34"/>
      <c r="E35" s="16"/>
      <c r="F35" s="17"/>
      <c r="G35" s="32"/>
      <c r="H35" s="16"/>
      <c r="I35" s="17"/>
      <c r="J35" s="32"/>
      <c r="K35" s="16"/>
      <c r="L35" s="17"/>
      <c r="M35" s="32"/>
      <c r="N35" s="19"/>
      <c r="O35" s="20"/>
      <c r="P35" s="33"/>
      <c r="Q35" s="19"/>
      <c r="R35" s="20"/>
      <c r="S35" s="33"/>
      <c r="T35" s="19"/>
      <c r="U35" s="20"/>
      <c r="V35" s="33"/>
      <c r="W35" s="19"/>
      <c r="X35" s="22"/>
      <c r="Y35" s="33"/>
      <c r="Z35" s="19"/>
      <c r="AA35" s="22"/>
      <c r="AB35" s="33"/>
      <c r="AC35" s="19"/>
      <c r="AD35" s="22"/>
      <c r="AE35" s="33"/>
      <c r="AF35" s="19"/>
      <c r="AG35" s="22"/>
      <c r="AH35" s="33"/>
      <c r="AI35" s="19"/>
      <c r="AJ35" s="22"/>
      <c r="AK35" s="33"/>
      <c r="AL35" s="19"/>
      <c r="AM35" s="22"/>
      <c r="AN35" s="33"/>
      <c r="AO35" s="19"/>
      <c r="AP35" s="22"/>
      <c r="AQ35" s="33"/>
      <c r="AR35" s="19"/>
      <c r="AS35" s="22"/>
      <c r="AT35" s="33"/>
      <c r="AU35" s="19"/>
      <c r="AV35" s="22"/>
      <c r="AW35" s="33"/>
      <c r="AX35" s="19"/>
      <c r="AY35" s="22"/>
      <c r="AZ35" s="33"/>
      <c r="BA35" s="19"/>
      <c r="BB35" s="22"/>
      <c r="BC35" s="33"/>
      <c r="BD35" s="19"/>
      <c r="BE35" s="22"/>
      <c r="BF35" s="33"/>
      <c r="BG35" s="19"/>
      <c r="BH35" s="22"/>
      <c r="BI35" s="33"/>
      <c r="BJ35" s="19"/>
      <c r="BK35" s="22"/>
      <c r="BL35" s="33"/>
      <c r="BM35" s="19"/>
      <c r="BN35" s="22"/>
      <c r="BO35" s="33"/>
      <c r="BP35" s="19"/>
      <c r="BQ35" s="22"/>
      <c r="BR35" s="33"/>
      <c r="BS35" s="19"/>
      <c r="BT35" s="22"/>
      <c r="BU35" s="33"/>
      <c r="BV35" s="19"/>
      <c r="BW35" s="22"/>
      <c r="BX35" s="33"/>
      <c r="BY35" s="19"/>
      <c r="BZ35" s="22"/>
      <c r="CA35" s="33"/>
      <c r="CB35" s="19"/>
      <c r="CC35" s="22"/>
      <c r="CD35" s="33"/>
      <c r="CE35" s="19"/>
      <c r="CF35" s="22"/>
      <c r="CG35" s="33"/>
      <c r="CH35" s="19"/>
      <c r="CI35" s="22"/>
      <c r="CJ35" s="33"/>
      <c r="CK35" s="19"/>
      <c r="CL35" s="22"/>
      <c r="CM35" s="33"/>
      <c r="CN35" s="19"/>
      <c r="CO35" s="22"/>
      <c r="CP35" s="33"/>
      <c r="CQ35" s="19"/>
      <c r="CR35" s="22"/>
      <c r="CS35" s="33"/>
      <c r="CT35" s="19"/>
      <c r="CU35" s="19"/>
    </row>
    <row r="36">
      <c r="A36" s="12">
        <v>3.0</v>
      </c>
      <c r="B36" s="24" t="s">
        <v>28</v>
      </c>
      <c r="C36" s="30"/>
      <c r="D36" s="34"/>
      <c r="E36" s="16"/>
      <c r="F36" s="17"/>
      <c r="G36" s="32"/>
      <c r="H36" s="16"/>
      <c r="I36" s="17"/>
      <c r="J36" s="32"/>
      <c r="K36" s="16"/>
      <c r="L36" s="17"/>
      <c r="M36" s="32"/>
      <c r="N36" s="19"/>
      <c r="O36" s="20"/>
      <c r="P36" s="33"/>
      <c r="Q36" s="19"/>
      <c r="R36" s="20"/>
      <c r="S36" s="33"/>
      <c r="T36" s="19"/>
      <c r="U36" s="20"/>
      <c r="V36" s="33"/>
      <c r="W36" s="19"/>
      <c r="X36" s="22"/>
      <c r="Y36" s="33"/>
      <c r="Z36" s="19"/>
      <c r="AA36" s="22"/>
      <c r="AB36" s="33"/>
      <c r="AC36" s="19"/>
      <c r="AD36" s="22"/>
      <c r="AE36" s="33"/>
      <c r="AF36" s="19"/>
      <c r="AG36" s="22"/>
      <c r="AH36" s="33"/>
      <c r="AI36" s="19"/>
      <c r="AJ36" s="22"/>
      <c r="AK36" s="33"/>
      <c r="AL36" s="19"/>
      <c r="AM36" s="22"/>
      <c r="AN36" s="33"/>
      <c r="AO36" s="19"/>
      <c r="AP36" s="22"/>
      <c r="AQ36" s="33"/>
      <c r="AR36" s="19"/>
      <c r="AS36" s="22"/>
      <c r="AT36" s="33"/>
      <c r="AU36" s="19"/>
      <c r="AV36" s="22"/>
      <c r="AW36" s="33"/>
      <c r="AX36" s="19"/>
      <c r="AY36" s="22"/>
      <c r="AZ36" s="33"/>
      <c r="BA36" s="19"/>
      <c r="BB36" s="22"/>
      <c r="BC36" s="33"/>
      <c r="BD36" s="19"/>
      <c r="BE36" s="22"/>
      <c r="BF36" s="33"/>
      <c r="BG36" s="19"/>
      <c r="BH36" s="22"/>
      <c r="BI36" s="33"/>
      <c r="BJ36" s="19"/>
      <c r="BK36" s="22"/>
      <c r="BL36" s="33"/>
      <c r="BM36" s="19"/>
      <c r="BN36" s="22"/>
      <c r="BO36" s="33"/>
      <c r="BP36" s="19"/>
      <c r="BQ36" s="22"/>
      <c r="BR36" s="33"/>
      <c r="BS36" s="19"/>
      <c r="BT36" s="22"/>
      <c r="BU36" s="33"/>
      <c r="BV36" s="19"/>
      <c r="BW36" s="22"/>
      <c r="BX36" s="33"/>
      <c r="BY36" s="19"/>
      <c r="BZ36" s="22"/>
      <c r="CA36" s="33"/>
      <c r="CB36" s="19"/>
      <c r="CC36" s="22"/>
      <c r="CD36" s="33"/>
      <c r="CE36" s="19"/>
      <c r="CF36" s="22"/>
      <c r="CG36" s="33"/>
      <c r="CH36" s="19"/>
      <c r="CI36" s="22"/>
      <c r="CJ36" s="33"/>
      <c r="CK36" s="19"/>
      <c r="CL36" s="22"/>
      <c r="CM36" s="33"/>
      <c r="CN36" s="19"/>
      <c r="CO36" s="22"/>
      <c r="CP36" s="33"/>
      <c r="CQ36" s="19"/>
      <c r="CR36" s="22"/>
      <c r="CS36" s="33"/>
      <c r="CT36" s="19"/>
      <c r="CU36" s="19"/>
    </row>
    <row r="37">
      <c r="A37" s="12">
        <v>4.0</v>
      </c>
      <c r="B37" s="24" t="s">
        <v>29</v>
      </c>
      <c r="C37" s="30"/>
      <c r="D37" s="34"/>
      <c r="E37" s="16"/>
      <c r="F37" s="17"/>
      <c r="G37" s="32"/>
      <c r="H37" s="16"/>
      <c r="I37" s="17"/>
      <c r="J37" s="32"/>
      <c r="K37" s="16"/>
      <c r="L37" s="17"/>
      <c r="M37" s="32"/>
      <c r="N37" s="19"/>
      <c r="O37" s="20"/>
      <c r="P37" s="33"/>
      <c r="Q37" s="19"/>
      <c r="R37" s="20"/>
      <c r="S37" s="33"/>
      <c r="T37" s="19"/>
      <c r="U37" s="20"/>
      <c r="V37" s="33"/>
      <c r="W37" s="19"/>
      <c r="X37" s="22"/>
      <c r="Y37" s="33"/>
      <c r="Z37" s="19"/>
      <c r="AA37" s="22"/>
      <c r="AB37" s="33"/>
      <c r="AC37" s="19"/>
      <c r="AD37" s="22"/>
      <c r="AE37" s="33"/>
      <c r="AF37" s="19"/>
      <c r="AG37" s="22"/>
      <c r="AH37" s="33"/>
      <c r="AI37" s="19"/>
      <c r="AJ37" s="22"/>
      <c r="AK37" s="33"/>
      <c r="AL37" s="19"/>
      <c r="AM37" s="22"/>
      <c r="AN37" s="33"/>
      <c r="AO37" s="19"/>
      <c r="AP37" s="22"/>
      <c r="AQ37" s="33"/>
      <c r="AR37" s="19"/>
      <c r="AS37" s="22"/>
      <c r="AT37" s="33"/>
      <c r="AU37" s="19"/>
      <c r="AV37" s="22"/>
      <c r="AW37" s="33"/>
      <c r="AX37" s="19"/>
      <c r="AY37" s="22"/>
      <c r="AZ37" s="33"/>
      <c r="BA37" s="19"/>
      <c r="BB37" s="22"/>
      <c r="BC37" s="33"/>
      <c r="BD37" s="19"/>
      <c r="BE37" s="22"/>
      <c r="BF37" s="33"/>
      <c r="BG37" s="19"/>
      <c r="BH37" s="22"/>
      <c r="BI37" s="33"/>
      <c r="BJ37" s="19"/>
      <c r="BK37" s="22"/>
      <c r="BL37" s="33"/>
      <c r="BM37" s="19"/>
      <c r="BN37" s="22"/>
      <c r="BO37" s="33"/>
      <c r="BP37" s="19"/>
      <c r="BQ37" s="22"/>
      <c r="BR37" s="33"/>
      <c r="BS37" s="19"/>
      <c r="BT37" s="22"/>
      <c r="BU37" s="33"/>
      <c r="BV37" s="19"/>
      <c r="BW37" s="22"/>
      <c r="BX37" s="33"/>
      <c r="BY37" s="19"/>
      <c r="BZ37" s="22"/>
      <c r="CA37" s="33"/>
      <c r="CB37" s="19"/>
      <c r="CC37" s="22"/>
      <c r="CD37" s="33"/>
      <c r="CE37" s="19"/>
      <c r="CF37" s="22"/>
      <c r="CG37" s="33"/>
      <c r="CH37" s="19"/>
      <c r="CI37" s="22"/>
      <c r="CJ37" s="33"/>
      <c r="CK37" s="19"/>
      <c r="CL37" s="22"/>
      <c r="CM37" s="33"/>
      <c r="CN37" s="19"/>
      <c r="CO37" s="22"/>
      <c r="CP37" s="33"/>
      <c r="CQ37" s="19"/>
      <c r="CR37" s="22"/>
      <c r="CS37" s="33"/>
      <c r="CT37" s="19"/>
      <c r="CU37" s="19"/>
    </row>
    <row r="38">
      <c r="A38" s="12">
        <v>5.0</v>
      </c>
      <c r="B38" s="24" t="s">
        <v>23</v>
      </c>
      <c r="C38" s="30"/>
      <c r="D38" s="34"/>
      <c r="E38" s="16"/>
      <c r="F38" s="17"/>
      <c r="G38" s="32"/>
      <c r="H38" s="16"/>
      <c r="I38" s="17"/>
      <c r="J38" s="32"/>
      <c r="K38" s="16"/>
      <c r="L38" s="17"/>
      <c r="M38" s="32"/>
      <c r="N38" s="19"/>
      <c r="O38" s="20"/>
      <c r="P38" s="33"/>
      <c r="Q38" s="19"/>
      <c r="R38" s="20"/>
      <c r="S38" s="33"/>
      <c r="T38" s="19"/>
      <c r="U38" s="20"/>
      <c r="V38" s="33"/>
      <c r="W38" s="19"/>
      <c r="X38" s="22"/>
      <c r="Y38" s="33"/>
      <c r="Z38" s="19"/>
      <c r="AA38" s="22"/>
      <c r="AB38" s="33"/>
      <c r="AC38" s="19"/>
      <c r="AD38" s="22"/>
      <c r="AE38" s="33"/>
      <c r="AF38" s="19"/>
      <c r="AG38" s="22"/>
      <c r="AH38" s="33"/>
      <c r="AI38" s="19"/>
      <c r="AJ38" s="22"/>
      <c r="AK38" s="33"/>
      <c r="AL38" s="19"/>
      <c r="AM38" s="22"/>
      <c r="AN38" s="33"/>
      <c r="AO38" s="19"/>
      <c r="AP38" s="22"/>
      <c r="AQ38" s="33"/>
      <c r="AR38" s="19"/>
      <c r="AS38" s="22"/>
      <c r="AT38" s="33"/>
      <c r="AU38" s="19"/>
      <c r="AV38" s="22"/>
      <c r="AW38" s="33"/>
      <c r="AX38" s="19"/>
      <c r="AY38" s="22"/>
      <c r="AZ38" s="33"/>
      <c r="BA38" s="19"/>
      <c r="BB38" s="22"/>
      <c r="BC38" s="33"/>
      <c r="BD38" s="19"/>
      <c r="BE38" s="22"/>
      <c r="BF38" s="33"/>
      <c r="BG38" s="19"/>
      <c r="BH38" s="22"/>
      <c r="BI38" s="33"/>
      <c r="BJ38" s="19"/>
      <c r="BK38" s="22"/>
      <c r="BL38" s="33"/>
      <c r="BM38" s="19"/>
      <c r="BN38" s="22"/>
      <c r="BO38" s="33"/>
      <c r="BP38" s="19"/>
      <c r="BQ38" s="22"/>
      <c r="BR38" s="33"/>
      <c r="BS38" s="19"/>
      <c r="BT38" s="22"/>
      <c r="BU38" s="33"/>
      <c r="BV38" s="19"/>
      <c r="BW38" s="22"/>
      <c r="BX38" s="33"/>
      <c r="BY38" s="19"/>
      <c r="BZ38" s="22"/>
      <c r="CA38" s="33"/>
      <c r="CB38" s="19"/>
      <c r="CC38" s="22"/>
      <c r="CD38" s="33"/>
      <c r="CE38" s="19"/>
      <c r="CF38" s="22"/>
      <c r="CG38" s="33"/>
      <c r="CH38" s="19"/>
      <c r="CI38" s="22"/>
      <c r="CJ38" s="33"/>
      <c r="CK38" s="19"/>
      <c r="CL38" s="22"/>
      <c r="CM38" s="33"/>
      <c r="CN38" s="19"/>
      <c r="CO38" s="22"/>
      <c r="CP38" s="33"/>
      <c r="CQ38" s="19"/>
      <c r="CR38" s="22"/>
      <c r="CS38" s="33"/>
      <c r="CT38" s="19"/>
      <c r="CU38" s="19"/>
    </row>
    <row r="39">
      <c r="A39" s="12"/>
      <c r="B39" s="24"/>
      <c r="C39" s="30"/>
      <c r="D39" s="34"/>
      <c r="E39" s="16"/>
      <c r="F39" s="17"/>
      <c r="G39" s="32"/>
      <c r="H39" s="16"/>
      <c r="I39" s="17"/>
      <c r="J39" s="32"/>
      <c r="K39" s="16"/>
      <c r="L39" s="17"/>
      <c r="M39" s="32"/>
      <c r="N39" s="19"/>
      <c r="O39" s="20"/>
      <c r="P39" s="33"/>
      <c r="Q39" s="19"/>
      <c r="R39" s="20"/>
      <c r="S39" s="33"/>
      <c r="T39" s="19"/>
      <c r="U39" s="20"/>
      <c r="V39" s="33"/>
      <c r="W39" s="19"/>
      <c r="X39" s="22"/>
      <c r="Y39" s="33"/>
      <c r="Z39" s="19"/>
      <c r="AA39" s="22"/>
      <c r="AB39" s="33"/>
      <c r="AC39" s="19"/>
      <c r="AD39" s="22"/>
      <c r="AE39" s="33"/>
      <c r="AF39" s="19"/>
      <c r="AG39" s="22"/>
      <c r="AH39" s="33"/>
      <c r="AI39" s="19"/>
      <c r="AJ39" s="22"/>
      <c r="AK39" s="33"/>
      <c r="AL39" s="19"/>
      <c r="AM39" s="22"/>
      <c r="AN39" s="33"/>
      <c r="AO39" s="19"/>
      <c r="AP39" s="22"/>
      <c r="AQ39" s="33"/>
      <c r="AR39" s="19"/>
      <c r="AS39" s="22"/>
      <c r="AT39" s="33"/>
      <c r="AU39" s="19"/>
      <c r="AV39" s="22"/>
      <c r="AW39" s="33"/>
      <c r="AX39" s="19"/>
      <c r="AY39" s="22"/>
      <c r="AZ39" s="33"/>
      <c r="BA39" s="19"/>
      <c r="BB39" s="22"/>
      <c r="BC39" s="33"/>
      <c r="BD39" s="19"/>
      <c r="BE39" s="22"/>
      <c r="BF39" s="33"/>
      <c r="BG39" s="19"/>
      <c r="BH39" s="22"/>
      <c r="BI39" s="33"/>
      <c r="BJ39" s="19"/>
      <c r="BK39" s="22"/>
      <c r="BL39" s="33"/>
      <c r="BM39" s="19"/>
      <c r="BN39" s="22"/>
      <c r="BO39" s="33"/>
      <c r="BP39" s="19"/>
      <c r="BQ39" s="22"/>
      <c r="BR39" s="33"/>
      <c r="BS39" s="19"/>
      <c r="BT39" s="22"/>
      <c r="BU39" s="33"/>
      <c r="BV39" s="19"/>
      <c r="BW39" s="22"/>
      <c r="BX39" s="33"/>
      <c r="BY39" s="19"/>
      <c r="BZ39" s="22"/>
      <c r="CA39" s="33"/>
      <c r="CB39" s="19"/>
      <c r="CC39" s="22"/>
      <c r="CD39" s="33"/>
      <c r="CE39" s="19"/>
      <c r="CF39" s="22"/>
      <c r="CG39" s="33"/>
      <c r="CH39" s="19"/>
      <c r="CI39" s="22"/>
      <c r="CJ39" s="33"/>
      <c r="CK39" s="19"/>
      <c r="CL39" s="22"/>
      <c r="CM39" s="33"/>
      <c r="CN39" s="19"/>
      <c r="CO39" s="22"/>
      <c r="CP39" s="33"/>
      <c r="CQ39" s="19"/>
      <c r="CR39" s="22"/>
      <c r="CS39" s="33"/>
      <c r="CT39" s="19"/>
      <c r="CU39" s="19"/>
    </row>
    <row r="40">
      <c r="A40" s="12"/>
      <c r="B40" s="24"/>
      <c r="C40" s="30"/>
      <c r="D40" s="34"/>
      <c r="E40" s="16"/>
      <c r="F40" s="17"/>
      <c r="G40" s="32"/>
      <c r="H40" s="16"/>
      <c r="I40" s="17"/>
      <c r="J40" s="32"/>
      <c r="K40" s="16"/>
      <c r="L40" s="17"/>
      <c r="M40" s="32"/>
      <c r="N40" s="19"/>
      <c r="O40" s="20"/>
      <c r="P40" s="33"/>
      <c r="Q40" s="19"/>
      <c r="R40" s="20"/>
      <c r="S40" s="33"/>
      <c r="T40" s="19"/>
      <c r="U40" s="20"/>
      <c r="V40" s="33"/>
      <c r="W40" s="19"/>
      <c r="X40" s="22"/>
      <c r="Y40" s="33"/>
      <c r="Z40" s="19"/>
      <c r="AA40" s="22"/>
      <c r="AB40" s="33"/>
      <c r="AC40" s="19"/>
      <c r="AD40" s="22"/>
      <c r="AE40" s="33"/>
      <c r="AF40" s="19"/>
      <c r="AG40" s="22"/>
      <c r="AH40" s="33"/>
      <c r="AI40" s="19"/>
      <c r="AJ40" s="22"/>
      <c r="AK40" s="33"/>
      <c r="AL40" s="19"/>
      <c r="AM40" s="22"/>
      <c r="AN40" s="33"/>
      <c r="AO40" s="19"/>
      <c r="AP40" s="22"/>
      <c r="AQ40" s="33"/>
      <c r="AR40" s="19"/>
      <c r="AS40" s="22"/>
      <c r="AT40" s="33"/>
      <c r="AU40" s="19"/>
      <c r="AV40" s="22"/>
      <c r="AW40" s="33"/>
      <c r="AX40" s="19"/>
      <c r="AY40" s="22"/>
      <c r="AZ40" s="33"/>
      <c r="BA40" s="19"/>
      <c r="BB40" s="22"/>
      <c r="BC40" s="33"/>
      <c r="BD40" s="19"/>
      <c r="BE40" s="22"/>
      <c r="BF40" s="33"/>
      <c r="BG40" s="19"/>
      <c r="BH40" s="22"/>
      <c r="BI40" s="33"/>
      <c r="BJ40" s="19"/>
      <c r="BK40" s="22"/>
      <c r="BL40" s="33"/>
      <c r="BM40" s="19"/>
      <c r="BN40" s="22"/>
      <c r="BO40" s="33"/>
      <c r="BP40" s="19"/>
      <c r="BQ40" s="22"/>
      <c r="BR40" s="33"/>
      <c r="BS40" s="19"/>
      <c r="BT40" s="22"/>
      <c r="BU40" s="33"/>
      <c r="BV40" s="19"/>
      <c r="BW40" s="22"/>
      <c r="BX40" s="33"/>
      <c r="BY40" s="19"/>
      <c r="BZ40" s="22"/>
      <c r="CA40" s="33"/>
      <c r="CB40" s="19"/>
      <c r="CC40" s="22"/>
      <c r="CD40" s="33"/>
      <c r="CE40" s="19"/>
      <c r="CF40" s="22"/>
      <c r="CG40" s="33"/>
      <c r="CH40" s="19"/>
      <c r="CI40" s="22"/>
      <c r="CJ40" s="33"/>
      <c r="CK40" s="19"/>
      <c r="CL40" s="22"/>
      <c r="CM40" s="33"/>
      <c r="CN40" s="19"/>
      <c r="CO40" s="22"/>
      <c r="CP40" s="33"/>
      <c r="CQ40" s="19"/>
      <c r="CR40" s="22"/>
      <c r="CS40" s="33"/>
      <c r="CT40" s="19"/>
      <c r="CU40" s="19"/>
    </row>
    <row r="41">
      <c r="A41" s="12">
        <v>7.0</v>
      </c>
      <c r="B41" s="24" t="s">
        <v>24</v>
      </c>
      <c r="C41" s="30"/>
      <c r="D41" s="34"/>
      <c r="E41" s="16"/>
      <c r="F41" s="17"/>
      <c r="G41" s="32"/>
      <c r="H41" s="16"/>
      <c r="I41" s="17"/>
      <c r="J41" s="32"/>
      <c r="K41" s="16"/>
      <c r="L41" s="17"/>
      <c r="M41" s="32"/>
      <c r="N41" s="19"/>
      <c r="O41" s="20"/>
      <c r="P41" s="33"/>
      <c r="Q41" s="19"/>
      <c r="R41" s="20"/>
      <c r="S41" s="33"/>
      <c r="T41" s="19"/>
      <c r="U41" s="20"/>
      <c r="V41" s="33"/>
      <c r="W41" s="19"/>
      <c r="X41" s="22"/>
      <c r="Y41" s="33"/>
      <c r="Z41" s="19"/>
      <c r="AA41" s="22"/>
      <c r="AB41" s="33"/>
      <c r="AC41" s="19"/>
      <c r="AD41" s="22"/>
      <c r="AE41" s="33"/>
      <c r="AF41" s="19"/>
      <c r="AG41" s="22"/>
      <c r="AH41" s="33"/>
      <c r="AI41" s="19"/>
      <c r="AJ41" s="22"/>
      <c r="AK41" s="33"/>
      <c r="AL41" s="19"/>
      <c r="AM41" s="22"/>
      <c r="AN41" s="33"/>
      <c r="AO41" s="19"/>
      <c r="AP41" s="22"/>
      <c r="AQ41" s="33"/>
      <c r="AR41" s="19"/>
      <c r="AS41" s="22"/>
      <c r="AT41" s="33"/>
      <c r="AU41" s="19"/>
      <c r="AV41" s="22"/>
      <c r="AW41" s="33"/>
      <c r="AX41" s="19"/>
      <c r="AY41" s="22"/>
      <c r="AZ41" s="33"/>
      <c r="BA41" s="19"/>
      <c r="BB41" s="22"/>
      <c r="BC41" s="33"/>
      <c r="BD41" s="19"/>
      <c r="BE41" s="22"/>
      <c r="BF41" s="33"/>
      <c r="BG41" s="19"/>
      <c r="BH41" s="22"/>
      <c r="BI41" s="33"/>
      <c r="BJ41" s="19"/>
      <c r="BK41" s="22"/>
      <c r="BL41" s="33"/>
      <c r="BM41" s="19"/>
      <c r="BN41" s="22"/>
      <c r="BO41" s="33"/>
      <c r="BP41" s="19"/>
      <c r="BQ41" s="22"/>
      <c r="BR41" s="33"/>
      <c r="BS41" s="19"/>
      <c r="BT41" s="22"/>
      <c r="BU41" s="33"/>
      <c r="BV41" s="19"/>
      <c r="BW41" s="22"/>
      <c r="BX41" s="33"/>
      <c r="BY41" s="19"/>
      <c r="BZ41" s="22"/>
      <c r="CA41" s="33"/>
      <c r="CB41" s="19"/>
      <c r="CC41" s="22"/>
      <c r="CD41" s="33"/>
      <c r="CE41" s="19"/>
      <c r="CF41" s="22"/>
      <c r="CG41" s="33"/>
      <c r="CH41" s="19"/>
      <c r="CI41" s="22"/>
      <c r="CJ41" s="33"/>
      <c r="CK41" s="19"/>
      <c r="CL41" s="22"/>
      <c r="CM41" s="33"/>
      <c r="CN41" s="19"/>
      <c r="CO41" s="22"/>
      <c r="CP41" s="33"/>
      <c r="CQ41" s="19"/>
      <c r="CR41" s="22"/>
      <c r="CS41" s="33"/>
      <c r="CT41" s="19"/>
      <c r="CU41" s="19"/>
    </row>
    <row r="42">
      <c r="A42" s="12">
        <v>8.0</v>
      </c>
      <c r="B42" s="24" t="s">
        <v>30</v>
      </c>
      <c r="C42" s="30"/>
      <c r="D42" s="35"/>
      <c r="E42" s="16"/>
      <c r="F42" s="17"/>
      <c r="G42" s="32"/>
      <c r="H42" s="16"/>
      <c r="I42" s="17"/>
      <c r="J42" s="32"/>
      <c r="K42" s="16"/>
      <c r="L42" s="17"/>
      <c r="M42" s="32"/>
      <c r="N42" s="19"/>
      <c r="O42" s="20"/>
      <c r="P42" s="33"/>
      <c r="Q42" s="19"/>
      <c r="R42" s="20"/>
      <c r="S42" s="33"/>
      <c r="T42" s="19"/>
      <c r="U42" s="20"/>
      <c r="V42" s="33"/>
      <c r="W42" s="19"/>
      <c r="X42" s="22"/>
      <c r="Y42" s="33"/>
      <c r="Z42" s="19"/>
      <c r="AA42" s="22"/>
      <c r="AB42" s="33"/>
      <c r="AC42" s="19"/>
      <c r="AD42" s="22"/>
      <c r="AE42" s="33"/>
      <c r="AF42" s="19"/>
      <c r="AG42" s="22"/>
      <c r="AH42" s="33"/>
      <c r="AI42" s="19"/>
      <c r="AJ42" s="22"/>
      <c r="AK42" s="33"/>
      <c r="AL42" s="19"/>
      <c r="AM42" s="22"/>
      <c r="AN42" s="33"/>
      <c r="AO42" s="19"/>
      <c r="AP42" s="22"/>
      <c r="AQ42" s="33"/>
      <c r="AR42" s="19"/>
      <c r="AS42" s="22"/>
      <c r="AT42" s="33"/>
      <c r="AU42" s="19"/>
      <c r="AV42" s="22"/>
      <c r="AW42" s="33"/>
      <c r="AX42" s="19"/>
      <c r="AY42" s="22"/>
      <c r="AZ42" s="33"/>
      <c r="BA42" s="19"/>
      <c r="BB42" s="22"/>
      <c r="BC42" s="33"/>
      <c r="BD42" s="19"/>
      <c r="BE42" s="22"/>
      <c r="BF42" s="33"/>
      <c r="BG42" s="19"/>
      <c r="BH42" s="22"/>
      <c r="BI42" s="33"/>
      <c r="BJ42" s="19"/>
      <c r="BK42" s="22"/>
      <c r="BL42" s="33"/>
      <c r="BM42" s="19"/>
      <c r="BN42" s="22"/>
      <c r="BO42" s="33"/>
      <c r="BP42" s="19"/>
      <c r="BQ42" s="22"/>
      <c r="BR42" s="33"/>
      <c r="BS42" s="19"/>
      <c r="BT42" s="22"/>
      <c r="BU42" s="33"/>
      <c r="BV42" s="19"/>
      <c r="BW42" s="22"/>
      <c r="BX42" s="33"/>
      <c r="BY42" s="19"/>
      <c r="BZ42" s="22"/>
      <c r="CA42" s="33"/>
      <c r="CB42" s="19"/>
      <c r="CC42" s="22"/>
      <c r="CD42" s="33"/>
      <c r="CE42" s="19"/>
      <c r="CF42" s="22"/>
      <c r="CG42" s="33"/>
      <c r="CH42" s="19"/>
      <c r="CI42" s="22"/>
      <c r="CJ42" s="33"/>
      <c r="CK42" s="19"/>
      <c r="CL42" s="22"/>
      <c r="CM42" s="33"/>
      <c r="CN42" s="19"/>
      <c r="CO42" s="22"/>
      <c r="CP42" s="33"/>
      <c r="CQ42" s="19"/>
      <c r="CR42" s="22"/>
      <c r="CS42" s="33"/>
      <c r="CT42" s="19"/>
      <c r="CU42" s="19"/>
    </row>
    <row r="43">
      <c r="A43" s="12">
        <v>9.0</v>
      </c>
      <c r="B43" s="24" t="s">
        <v>31</v>
      </c>
      <c r="C43" s="30"/>
      <c r="D43" s="34"/>
      <c r="E43" s="16"/>
      <c r="F43" s="17"/>
      <c r="G43" s="32"/>
      <c r="H43" s="16"/>
      <c r="I43" s="17"/>
      <c r="J43" s="32"/>
      <c r="K43" s="16"/>
      <c r="L43" s="17"/>
      <c r="M43" s="32"/>
      <c r="N43" s="19"/>
      <c r="O43" s="20"/>
      <c r="P43" s="33"/>
      <c r="Q43" s="19"/>
      <c r="R43" s="20"/>
      <c r="S43" s="33"/>
      <c r="T43" s="19"/>
      <c r="U43" s="20"/>
      <c r="V43" s="33"/>
      <c r="W43" s="19"/>
      <c r="X43" s="22"/>
      <c r="Y43" s="33"/>
      <c r="Z43" s="19"/>
      <c r="AA43" s="22"/>
      <c r="AB43" s="33"/>
      <c r="AC43" s="19"/>
      <c r="AD43" s="22"/>
      <c r="AE43" s="33"/>
      <c r="AF43" s="19"/>
      <c r="AG43" s="22"/>
      <c r="AH43" s="33"/>
      <c r="AI43" s="19"/>
      <c r="AJ43" s="22"/>
      <c r="AK43" s="33"/>
      <c r="AL43" s="19"/>
      <c r="AM43" s="22"/>
      <c r="AN43" s="33"/>
      <c r="AO43" s="19"/>
      <c r="AP43" s="22"/>
      <c r="AQ43" s="33"/>
      <c r="AR43" s="19"/>
      <c r="AS43" s="22"/>
      <c r="AT43" s="33"/>
      <c r="AU43" s="19"/>
      <c r="AV43" s="22"/>
      <c r="AW43" s="33"/>
      <c r="AX43" s="19"/>
      <c r="AY43" s="22"/>
      <c r="AZ43" s="33"/>
      <c r="BA43" s="19"/>
      <c r="BB43" s="22"/>
      <c r="BC43" s="33"/>
      <c r="BD43" s="19"/>
      <c r="BE43" s="22"/>
      <c r="BF43" s="33"/>
      <c r="BG43" s="19"/>
      <c r="BH43" s="22"/>
      <c r="BI43" s="33"/>
      <c r="BJ43" s="19"/>
      <c r="BK43" s="22"/>
      <c r="BL43" s="33"/>
      <c r="BM43" s="19"/>
      <c r="BN43" s="22"/>
      <c r="BO43" s="33"/>
      <c r="BP43" s="19"/>
      <c r="BQ43" s="22"/>
      <c r="BR43" s="33"/>
      <c r="BS43" s="19"/>
      <c r="BT43" s="22"/>
      <c r="BU43" s="33"/>
      <c r="BV43" s="19"/>
      <c r="BW43" s="22"/>
      <c r="BX43" s="33"/>
      <c r="BY43" s="19"/>
      <c r="BZ43" s="22"/>
      <c r="CA43" s="33"/>
      <c r="CB43" s="19"/>
      <c r="CC43" s="22"/>
      <c r="CD43" s="33"/>
      <c r="CE43" s="19"/>
      <c r="CF43" s="22"/>
      <c r="CG43" s="33"/>
      <c r="CH43" s="19"/>
      <c r="CI43" s="22"/>
      <c r="CJ43" s="33"/>
      <c r="CK43" s="19"/>
      <c r="CL43" s="22"/>
      <c r="CM43" s="33"/>
      <c r="CN43" s="19"/>
      <c r="CO43" s="22"/>
      <c r="CP43" s="33"/>
      <c r="CQ43" s="19"/>
      <c r="CR43" s="22"/>
      <c r="CS43" s="33"/>
      <c r="CT43" s="19"/>
      <c r="CU43" s="19"/>
    </row>
    <row r="44">
      <c r="A44" s="12"/>
      <c r="B44" s="24"/>
      <c r="C44" s="30"/>
      <c r="D44" s="34"/>
      <c r="E44" s="16"/>
      <c r="F44" s="36"/>
      <c r="G44" s="32"/>
      <c r="H44" s="28"/>
      <c r="I44" s="17"/>
      <c r="J44" s="32"/>
      <c r="K44" s="16"/>
      <c r="L44" s="36"/>
      <c r="M44" s="32"/>
      <c r="N44" s="19"/>
      <c r="O44" s="22"/>
      <c r="P44" s="33"/>
      <c r="Q44" s="19"/>
      <c r="R44" s="20"/>
      <c r="S44" s="33"/>
      <c r="T44" s="19"/>
      <c r="U44" s="20"/>
      <c r="V44" s="33"/>
      <c r="W44" s="19"/>
      <c r="X44" s="22"/>
      <c r="Y44" s="33"/>
      <c r="Z44" s="19"/>
      <c r="AA44" s="22"/>
      <c r="AB44" s="33"/>
      <c r="AC44" s="19"/>
      <c r="AD44" s="22"/>
      <c r="AE44" s="33"/>
      <c r="AF44" s="19"/>
      <c r="AG44" s="22"/>
      <c r="AH44" s="33"/>
      <c r="AI44" s="19"/>
      <c r="AJ44" s="22"/>
      <c r="AK44" s="33"/>
      <c r="AL44" s="19"/>
      <c r="AM44" s="22"/>
      <c r="AN44" s="33"/>
      <c r="AO44" s="19"/>
      <c r="AP44" s="22"/>
      <c r="AQ44" s="33"/>
      <c r="AR44" s="19"/>
      <c r="AS44" s="22"/>
      <c r="AT44" s="33"/>
      <c r="AU44" s="19"/>
      <c r="AV44" s="22"/>
      <c r="AW44" s="33"/>
      <c r="AX44" s="19"/>
      <c r="AY44" s="22"/>
      <c r="AZ44" s="33"/>
      <c r="BA44" s="19"/>
      <c r="BB44" s="22"/>
      <c r="BC44" s="33"/>
      <c r="BD44" s="19"/>
      <c r="BE44" s="22"/>
      <c r="BF44" s="33"/>
      <c r="BG44" s="19"/>
      <c r="BH44" s="22"/>
      <c r="BI44" s="33"/>
      <c r="BJ44" s="19"/>
      <c r="BK44" s="22"/>
      <c r="BL44" s="33"/>
      <c r="BM44" s="19"/>
      <c r="BN44" s="22"/>
      <c r="BO44" s="33"/>
      <c r="BP44" s="19"/>
      <c r="BQ44" s="22"/>
      <c r="BR44" s="33"/>
      <c r="BS44" s="19"/>
      <c r="BT44" s="22"/>
      <c r="BU44" s="33"/>
      <c r="BV44" s="19"/>
      <c r="BW44" s="22"/>
      <c r="BX44" s="33"/>
      <c r="BY44" s="19"/>
      <c r="BZ44" s="22"/>
      <c r="CA44" s="33"/>
      <c r="CB44" s="19"/>
      <c r="CC44" s="22"/>
      <c r="CD44" s="33"/>
      <c r="CE44" s="19"/>
      <c r="CF44" s="22"/>
      <c r="CG44" s="33"/>
      <c r="CH44" s="19"/>
      <c r="CI44" s="22"/>
      <c r="CJ44" s="33"/>
      <c r="CK44" s="19"/>
      <c r="CL44" s="22"/>
      <c r="CM44" s="33"/>
      <c r="CN44" s="19"/>
      <c r="CO44" s="22"/>
      <c r="CP44" s="33"/>
      <c r="CQ44" s="19"/>
      <c r="CR44" s="22"/>
      <c r="CS44" s="33"/>
      <c r="CT44" s="19"/>
      <c r="CU44" s="19"/>
    </row>
    <row r="45">
      <c r="A45" s="12"/>
      <c r="B45" s="24"/>
      <c r="C45" s="30"/>
      <c r="D45" s="34"/>
      <c r="E45" s="16"/>
      <c r="F45" s="36"/>
      <c r="G45" s="32"/>
      <c r="H45" s="16"/>
      <c r="I45" s="36"/>
      <c r="J45" s="32"/>
      <c r="K45" s="16"/>
      <c r="L45" s="36"/>
      <c r="M45" s="32"/>
      <c r="N45" s="19"/>
      <c r="O45" s="22"/>
      <c r="P45" s="33"/>
      <c r="Q45" s="19"/>
      <c r="R45" s="20"/>
      <c r="S45" s="33"/>
      <c r="T45" s="19"/>
      <c r="U45" s="20"/>
      <c r="V45" s="33"/>
      <c r="W45" s="19"/>
      <c r="X45" s="22"/>
      <c r="Y45" s="33"/>
      <c r="Z45" s="19"/>
      <c r="AA45" s="22"/>
      <c r="AB45" s="33"/>
      <c r="AC45" s="19"/>
      <c r="AD45" s="22"/>
      <c r="AE45" s="33"/>
      <c r="AF45" s="19"/>
      <c r="AG45" s="22"/>
      <c r="AH45" s="33"/>
      <c r="AI45" s="19"/>
      <c r="AJ45" s="22"/>
      <c r="AK45" s="33"/>
      <c r="AL45" s="19"/>
      <c r="AM45" s="22"/>
      <c r="AN45" s="33"/>
      <c r="AO45" s="19"/>
      <c r="AP45" s="22"/>
      <c r="AQ45" s="33"/>
      <c r="AR45" s="19"/>
      <c r="AS45" s="22"/>
      <c r="AT45" s="33"/>
      <c r="AU45" s="19"/>
      <c r="AV45" s="22"/>
      <c r="AW45" s="33"/>
      <c r="AX45" s="19"/>
      <c r="AY45" s="22"/>
      <c r="AZ45" s="33"/>
      <c r="BA45" s="19"/>
      <c r="BB45" s="22"/>
      <c r="BC45" s="33"/>
      <c r="BD45" s="19"/>
      <c r="BE45" s="22"/>
      <c r="BF45" s="33"/>
      <c r="BG45" s="19"/>
      <c r="BH45" s="22"/>
      <c r="BI45" s="33"/>
      <c r="BJ45" s="19"/>
      <c r="BK45" s="22"/>
      <c r="BL45" s="33"/>
      <c r="BM45" s="19"/>
      <c r="BN45" s="22"/>
      <c r="BO45" s="33"/>
      <c r="BP45" s="19"/>
      <c r="BQ45" s="22"/>
      <c r="BR45" s="33"/>
      <c r="BS45" s="19"/>
      <c r="BT45" s="22"/>
      <c r="BU45" s="33"/>
      <c r="BV45" s="19"/>
      <c r="BW45" s="22"/>
      <c r="BX45" s="33"/>
      <c r="BY45" s="19"/>
      <c r="BZ45" s="22"/>
      <c r="CA45" s="33"/>
      <c r="CB45" s="19"/>
      <c r="CC45" s="22"/>
      <c r="CD45" s="33"/>
      <c r="CE45" s="19"/>
      <c r="CF45" s="22"/>
      <c r="CG45" s="33"/>
      <c r="CH45" s="19"/>
      <c r="CI45" s="22"/>
      <c r="CJ45" s="33"/>
      <c r="CK45" s="19"/>
      <c r="CL45" s="22"/>
      <c r="CM45" s="33"/>
      <c r="CN45" s="19"/>
      <c r="CO45" s="22"/>
      <c r="CP45" s="33"/>
      <c r="CQ45" s="19"/>
      <c r="CR45" s="22"/>
      <c r="CS45" s="33"/>
      <c r="CT45" s="19"/>
      <c r="CU45" s="19"/>
    </row>
    <row r="46">
      <c r="A46" s="12"/>
      <c r="B46" s="24"/>
      <c r="C46" s="30"/>
      <c r="D46" s="34"/>
      <c r="E46" s="16"/>
      <c r="F46" s="17"/>
      <c r="G46" s="32"/>
      <c r="H46" s="16"/>
      <c r="I46" s="17"/>
      <c r="J46" s="32"/>
      <c r="K46" s="16"/>
      <c r="L46" s="17"/>
      <c r="M46" s="32"/>
      <c r="N46" s="19"/>
      <c r="O46" s="20"/>
      <c r="P46" s="33"/>
      <c r="Q46" s="19"/>
      <c r="R46" s="20"/>
      <c r="S46" s="33"/>
      <c r="T46" s="19"/>
      <c r="U46" s="20"/>
      <c r="V46" s="33"/>
      <c r="W46" s="19"/>
      <c r="X46" s="22"/>
      <c r="Y46" s="33"/>
      <c r="Z46" s="19"/>
      <c r="AA46" s="22"/>
      <c r="AB46" s="33"/>
      <c r="AC46" s="19"/>
      <c r="AD46" s="22"/>
      <c r="AE46" s="33"/>
      <c r="AF46" s="19"/>
      <c r="AG46" s="22"/>
      <c r="AH46" s="33"/>
      <c r="AI46" s="19"/>
      <c r="AJ46" s="22"/>
      <c r="AK46" s="33"/>
      <c r="AL46" s="19"/>
      <c r="AM46" s="22"/>
      <c r="AN46" s="33"/>
      <c r="AO46" s="19"/>
      <c r="AP46" s="22"/>
      <c r="AQ46" s="33"/>
      <c r="AR46" s="19"/>
      <c r="AS46" s="22"/>
      <c r="AT46" s="33"/>
      <c r="AU46" s="19"/>
      <c r="AV46" s="22"/>
      <c r="AW46" s="33"/>
      <c r="AX46" s="19"/>
      <c r="AY46" s="22"/>
      <c r="AZ46" s="33"/>
      <c r="BA46" s="19"/>
      <c r="BB46" s="22"/>
      <c r="BC46" s="33"/>
      <c r="BD46" s="19"/>
      <c r="BE46" s="22"/>
      <c r="BF46" s="33"/>
      <c r="BG46" s="19"/>
      <c r="BH46" s="22"/>
      <c r="BI46" s="33"/>
      <c r="BJ46" s="19"/>
      <c r="BK46" s="22"/>
      <c r="BL46" s="33"/>
      <c r="BM46" s="19"/>
      <c r="BN46" s="22"/>
      <c r="BO46" s="33"/>
      <c r="BP46" s="19"/>
      <c r="BQ46" s="22"/>
      <c r="BR46" s="33"/>
      <c r="BS46" s="19"/>
      <c r="BT46" s="22"/>
      <c r="BU46" s="33"/>
      <c r="BV46" s="19"/>
      <c r="BW46" s="22"/>
      <c r="BX46" s="33"/>
      <c r="BY46" s="19"/>
      <c r="BZ46" s="22"/>
      <c r="CA46" s="33"/>
      <c r="CB46" s="19"/>
      <c r="CC46" s="22"/>
      <c r="CD46" s="33"/>
      <c r="CE46" s="19"/>
      <c r="CF46" s="22"/>
      <c r="CG46" s="33"/>
      <c r="CH46" s="19"/>
      <c r="CI46" s="22"/>
      <c r="CJ46" s="33"/>
      <c r="CK46" s="19"/>
      <c r="CL46" s="22"/>
      <c r="CM46" s="33"/>
      <c r="CN46" s="19"/>
      <c r="CO46" s="22"/>
      <c r="CP46" s="33"/>
      <c r="CQ46" s="19"/>
      <c r="CR46" s="22"/>
      <c r="CS46" s="33"/>
      <c r="CT46" s="19"/>
      <c r="CU46" s="19"/>
    </row>
    <row r="47">
      <c r="A47" s="12"/>
      <c r="B47" s="24"/>
      <c r="C47" s="30"/>
      <c r="D47" s="31"/>
      <c r="E47" s="28"/>
      <c r="F47" s="36"/>
      <c r="G47" s="37"/>
      <c r="H47" s="28"/>
      <c r="I47" s="25"/>
      <c r="J47" s="37"/>
      <c r="K47" s="16"/>
      <c r="L47" s="36"/>
      <c r="M47" s="32"/>
      <c r="N47" s="19"/>
      <c r="O47" s="22"/>
      <c r="P47" s="33"/>
      <c r="Q47" s="19"/>
      <c r="R47" s="22"/>
      <c r="S47" s="33"/>
      <c r="T47" s="19"/>
      <c r="U47" s="20"/>
      <c r="V47" s="33"/>
      <c r="W47" s="19"/>
      <c r="X47" s="22"/>
      <c r="Y47" s="33"/>
      <c r="Z47" s="19"/>
      <c r="AA47" s="22"/>
      <c r="AB47" s="33"/>
      <c r="AC47" s="19"/>
      <c r="AD47" s="22"/>
      <c r="AE47" s="33"/>
      <c r="AF47" s="19"/>
      <c r="AG47" s="22"/>
      <c r="AH47" s="33"/>
      <c r="AI47" s="19"/>
      <c r="AJ47" s="22"/>
      <c r="AK47" s="33"/>
      <c r="AL47" s="19"/>
      <c r="AM47" s="22"/>
      <c r="AN47" s="33"/>
      <c r="AO47" s="19"/>
      <c r="AP47" s="22"/>
      <c r="AQ47" s="33"/>
      <c r="AR47" s="19"/>
      <c r="AS47" s="22"/>
      <c r="AT47" s="33"/>
      <c r="AU47" s="19"/>
      <c r="AV47" s="22"/>
      <c r="AW47" s="33"/>
      <c r="AX47" s="19"/>
      <c r="AY47" s="22"/>
      <c r="AZ47" s="33"/>
      <c r="BA47" s="19"/>
      <c r="BB47" s="22"/>
      <c r="BC47" s="33"/>
      <c r="BD47" s="19"/>
      <c r="BE47" s="22"/>
      <c r="BF47" s="33"/>
      <c r="BG47" s="19"/>
      <c r="BH47" s="22"/>
      <c r="BI47" s="33"/>
      <c r="BJ47" s="19"/>
      <c r="BK47" s="22"/>
      <c r="BL47" s="33"/>
      <c r="BM47" s="19"/>
      <c r="BN47" s="22"/>
      <c r="BO47" s="33"/>
      <c r="BP47" s="19"/>
      <c r="BQ47" s="22"/>
      <c r="BR47" s="33"/>
      <c r="BS47" s="19"/>
      <c r="BT47" s="22"/>
      <c r="BU47" s="33"/>
      <c r="BV47" s="19"/>
      <c r="BW47" s="22"/>
      <c r="BX47" s="33"/>
      <c r="BY47" s="19"/>
      <c r="BZ47" s="22"/>
      <c r="CA47" s="33"/>
      <c r="CB47" s="19"/>
      <c r="CC47" s="22"/>
      <c r="CD47" s="33"/>
      <c r="CE47" s="19"/>
      <c r="CF47" s="22"/>
      <c r="CG47" s="33"/>
      <c r="CH47" s="19"/>
      <c r="CI47" s="22"/>
      <c r="CJ47" s="33"/>
      <c r="CK47" s="19"/>
      <c r="CL47" s="22"/>
      <c r="CM47" s="33"/>
      <c r="CN47" s="19"/>
      <c r="CO47" s="22"/>
      <c r="CP47" s="33"/>
      <c r="CQ47" s="19"/>
      <c r="CR47" s="22"/>
      <c r="CS47" s="33"/>
      <c r="CT47" s="19"/>
      <c r="CU47" s="19"/>
    </row>
    <row r="48">
      <c r="A48" s="12">
        <v>14.0</v>
      </c>
      <c r="B48" s="24" t="s">
        <v>10</v>
      </c>
      <c r="C48" s="30"/>
      <c r="D48" s="34"/>
      <c r="E48" s="16"/>
      <c r="F48" s="36"/>
      <c r="G48" s="32"/>
      <c r="H48" s="16"/>
      <c r="I48" s="36"/>
      <c r="J48" s="32"/>
      <c r="K48" s="16"/>
      <c r="L48" s="36"/>
      <c r="M48" s="32"/>
      <c r="N48" s="19"/>
      <c r="O48" s="22"/>
      <c r="P48" s="33"/>
      <c r="Q48" s="19"/>
      <c r="R48" s="22"/>
      <c r="S48" s="33"/>
      <c r="T48" s="19"/>
      <c r="U48" s="20"/>
      <c r="V48" s="33"/>
      <c r="W48" s="19"/>
      <c r="X48" s="22"/>
      <c r="Y48" s="33"/>
      <c r="Z48" s="19"/>
      <c r="AA48" s="22"/>
      <c r="AB48" s="33"/>
      <c r="AC48" s="19"/>
      <c r="AD48" s="22"/>
      <c r="AE48" s="33"/>
      <c r="AF48" s="19"/>
      <c r="AG48" s="22"/>
      <c r="AH48" s="33"/>
      <c r="AI48" s="19"/>
      <c r="AJ48" s="22"/>
      <c r="AK48" s="33"/>
      <c r="AL48" s="19"/>
      <c r="AM48" s="22"/>
      <c r="AN48" s="33"/>
      <c r="AO48" s="19"/>
      <c r="AP48" s="22"/>
      <c r="AQ48" s="33"/>
      <c r="AR48" s="19"/>
      <c r="AS48" s="22"/>
      <c r="AT48" s="33"/>
      <c r="AU48" s="19"/>
      <c r="AV48" s="22"/>
      <c r="AW48" s="33"/>
      <c r="AX48" s="19"/>
      <c r="AY48" s="22"/>
      <c r="AZ48" s="33"/>
      <c r="BA48" s="19"/>
      <c r="BB48" s="22"/>
      <c r="BC48" s="33"/>
      <c r="BD48" s="19"/>
      <c r="BE48" s="22"/>
      <c r="BF48" s="33"/>
      <c r="BG48" s="19"/>
      <c r="BH48" s="22"/>
      <c r="BI48" s="33"/>
      <c r="BJ48" s="19"/>
      <c r="BK48" s="22"/>
      <c r="BL48" s="33"/>
      <c r="BM48" s="19"/>
      <c r="BN48" s="22"/>
      <c r="BO48" s="33"/>
      <c r="BP48" s="19"/>
      <c r="BQ48" s="22"/>
      <c r="BR48" s="33"/>
      <c r="BS48" s="19"/>
      <c r="BT48" s="22"/>
      <c r="BU48" s="33"/>
      <c r="BV48" s="19"/>
      <c r="BW48" s="22"/>
      <c r="BX48" s="33"/>
      <c r="BY48" s="19"/>
      <c r="BZ48" s="22"/>
      <c r="CA48" s="33"/>
      <c r="CB48" s="19"/>
      <c r="CC48" s="22"/>
      <c r="CD48" s="33"/>
      <c r="CE48" s="19"/>
      <c r="CF48" s="22"/>
      <c r="CG48" s="33"/>
      <c r="CH48" s="19"/>
      <c r="CI48" s="22"/>
      <c r="CJ48" s="33"/>
      <c r="CK48" s="19"/>
      <c r="CL48" s="22"/>
      <c r="CM48" s="33"/>
      <c r="CN48" s="19"/>
      <c r="CO48" s="22"/>
      <c r="CP48" s="33"/>
      <c r="CQ48" s="19"/>
      <c r="CR48" s="22"/>
      <c r="CS48" s="33"/>
      <c r="CT48" s="19"/>
      <c r="CU48" s="19"/>
    </row>
    <row r="49">
      <c r="A49" s="12">
        <v>15.0</v>
      </c>
      <c r="B49" s="24" t="s">
        <v>13</v>
      </c>
      <c r="C49" s="30"/>
      <c r="D49" s="34"/>
      <c r="E49" s="16"/>
      <c r="F49" s="36"/>
      <c r="G49" s="32"/>
      <c r="H49" s="16"/>
      <c r="I49" s="36"/>
      <c r="J49" s="32"/>
      <c r="K49" s="16"/>
      <c r="L49" s="36"/>
      <c r="M49" s="32"/>
      <c r="N49" s="19"/>
      <c r="O49" s="22"/>
      <c r="P49" s="33"/>
      <c r="Q49" s="19"/>
      <c r="R49" s="22"/>
      <c r="S49" s="33"/>
      <c r="T49" s="19"/>
      <c r="U49" s="20"/>
      <c r="V49" s="33"/>
      <c r="W49" s="19"/>
      <c r="X49" s="22"/>
      <c r="Y49" s="33"/>
      <c r="Z49" s="19"/>
      <c r="AA49" s="22"/>
      <c r="AB49" s="33"/>
      <c r="AC49" s="19"/>
      <c r="AD49" s="22"/>
      <c r="AE49" s="33"/>
      <c r="AF49" s="19"/>
      <c r="AG49" s="22"/>
      <c r="AH49" s="33"/>
      <c r="AI49" s="19"/>
      <c r="AJ49" s="22"/>
      <c r="AK49" s="33"/>
      <c r="AL49" s="19"/>
      <c r="AM49" s="22"/>
      <c r="AN49" s="33"/>
      <c r="AO49" s="19"/>
      <c r="AP49" s="22"/>
      <c r="AQ49" s="33"/>
      <c r="AR49" s="19"/>
      <c r="AS49" s="22"/>
      <c r="AT49" s="33"/>
      <c r="AU49" s="19"/>
      <c r="AV49" s="22"/>
      <c r="AW49" s="33"/>
      <c r="AX49" s="19"/>
      <c r="AY49" s="22"/>
      <c r="AZ49" s="33"/>
      <c r="BA49" s="19"/>
      <c r="BB49" s="22"/>
      <c r="BC49" s="33"/>
      <c r="BD49" s="19"/>
      <c r="BE49" s="22"/>
      <c r="BF49" s="33"/>
      <c r="BG49" s="19"/>
      <c r="BH49" s="22"/>
      <c r="BI49" s="33"/>
      <c r="BJ49" s="19"/>
      <c r="BK49" s="22"/>
      <c r="BL49" s="33"/>
      <c r="BM49" s="19"/>
      <c r="BN49" s="22"/>
      <c r="BO49" s="33"/>
      <c r="BP49" s="19"/>
      <c r="BQ49" s="22"/>
      <c r="BR49" s="33"/>
      <c r="BS49" s="19"/>
      <c r="BT49" s="22"/>
      <c r="BU49" s="33"/>
      <c r="BV49" s="19"/>
      <c r="BW49" s="22"/>
      <c r="BX49" s="33"/>
      <c r="BY49" s="19"/>
      <c r="BZ49" s="22"/>
      <c r="CA49" s="33"/>
      <c r="CB49" s="19"/>
      <c r="CC49" s="22"/>
      <c r="CD49" s="33"/>
      <c r="CE49" s="19"/>
      <c r="CF49" s="22"/>
      <c r="CG49" s="33"/>
      <c r="CH49" s="19"/>
      <c r="CI49" s="22"/>
      <c r="CJ49" s="33"/>
      <c r="CK49" s="19"/>
      <c r="CL49" s="22"/>
      <c r="CM49" s="33"/>
      <c r="CN49" s="19"/>
      <c r="CO49" s="22"/>
      <c r="CP49" s="33"/>
      <c r="CQ49" s="19"/>
      <c r="CR49" s="22"/>
      <c r="CS49" s="33"/>
      <c r="CT49" s="19"/>
      <c r="CU49" s="19"/>
    </row>
    <row r="50">
      <c r="A50" s="12">
        <v>16.0</v>
      </c>
      <c r="B50" s="24" t="s">
        <v>32</v>
      </c>
      <c r="C50" s="38" t="s">
        <v>33</v>
      </c>
      <c r="D50" s="35"/>
      <c r="E50" s="16"/>
      <c r="F50" s="36"/>
      <c r="G50" s="32"/>
      <c r="H50" s="16"/>
      <c r="I50" s="36"/>
      <c r="J50" s="32"/>
      <c r="K50" s="16"/>
      <c r="L50" s="36"/>
      <c r="M50" s="32"/>
      <c r="N50" s="19"/>
      <c r="O50" s="22"/>
      <c r="P50" s="33"/>
      <c r="Q50" s="19"/>
      <c r="R50" s="22"/>
      <c r="S50" s="33"/>
      <c r="T50" s="19"/>
      <c r="U50" s="20"/>
      <c r="V50" s="33"/>
      <c r="W50" s="19"/>
      <c r="X50" s="22"/>
      <c r="Y50" s="33"/>
      <c r="Z50" s="19"/>
      <c r="AA50" s="22"/>
      <c r="AB50" s="33"/>
      <c r="AC50" s="19"/>
      <c r="AD50" s="22"/>
      <c r="AE50" s="33"/>
      <c r="AF50" s="19"/>
      <c r="AG50" s="22"/>
      <c r="AH50" s="33"/>
      <c r="AI50" s="19"/>
      <c r="AJ50" s="22"/>
      <c r="AK50" s="33"/>
      <c r="AL50" s="19"/>
      <c r="AM50" s="22"/>
      <c r="AN50" s="33"/>
      <c r="AO50" s="19"/>
      <c r="AP50" s="22"/>
      <c r="AQ50" s="33"/>
      <c r="AR50" s="19"/>
      <c r="AS50" s="22"/>
      <c r="AT50" s="33"/>
      <c r="AU50" s="19"/>
      <c r="AV50" s="22"/>
      <c r="AW50" s="33"/>
      <c r="AX50" s="19"/>
      <c r="AY50" s="22"/>
      <c r="AZ50" s="33"/>
      <c r="BA50" s="19"/>
      <c r="BB50" s="22"/>
      <c r="BC50" s="33"/>
      <c r="BD50" s="19"/>
      <c r="BE50" s="22"/>
      <c r="BF50" s="33"/>
      <c r="BG50" s="19"/>
      <c r="BH50" s="22"/>
      <c r="BI50" s="33"/>
      <c r="BJ50" s="19"/>
      <c r="BK50" s="22"/>
      <c r="BL50" s="33"/>
      <c r="BM50" s="19"/>
      <c r="BN50" s="22"/>
      <c r="BO50" s="33"/>
      <c r="BP50" s="19"/>
      <c r="BQ50" s="22"/>
      <c r="BR50" s="33"/>
      <c r="BS50" s="19"/>
      <c r="BT50" s="22"/>
      <c r="BU50" s="33"/>
      <c r="BV50" s="19"/>
      <c r="BW50" s="22"/>
      <c r="BX50" s="33"/>
      <c r="BY50" s="19"/>
      <c r="BZ50" s="22"/>
      <c r="CA50" s="33"/>
      <c r="CB50" s="19"/>
      <c r="CC50" s="22"/>
      <c r="CD50" s="33"/>
      <c r="CE50" s="19"/>
      <c r="CF50" s="22"/>
      <c r="CG50" s="33"/>
      <c r="CH50" s="19"/>
      <c r="CI50" s="22"/>
      <c r="CJ50" s="33"/>
      <c r="CK50" s="19"/>
      <c r="CL50" s="22"/>
      <c r="CM50" s="33"/>
      <c r="CN50" s="19"/>
      <c r="CO50" s="22"/>
      <c r="CP50" s="33"/>
      <c r="CQ50" s="19"/>
      <c r="CR50" s="22"/>
      <c r="CS50" s="33"/>
      <c r="CT50" s="19"/>
      <c r="CU50" s="19"/>
    </row>
    <row r="51">
      <c r="A51" s="12"/>
      <c r="B51" s="24"/>
      <c r="C51" s="30"/>
      <c r="D51" s="34"/>
      <c r="E51" s="16"/>
      <c r="F51" s="36"/>
      <c r="G51" s="32"/>
      <c r="H51" s="16"/>
      <c r="I51" s="36"/>
      <c r="J51" s="32"/>
      <c r="K51" s="16"/>
      <c r="L51" s="36"/>
      <c r="M51" s="32"/>
      <c r="N51" s="19"/>
      <c r="O51" s="22"/>
      <c r="P51" s="33"/>
      <c r="Q51" s="19"/>
      <c r="R51" s="22"/>
      <c r="S51" s="33"/>
      <c r="T51" s="19"/>
      <c r="U51" s="20"/>
      <c r="V51" s="33"/>
      <c r="W51" s="19"/>
      <c r="X51" s="22"/>
      <c r="Y51" s="33"/>
      <c r="Z51" s="19"/>
      <c r="AA51" s="22"/>
      <c r="AB51" s="33"/>
      <c r="AC51" s="19"/>
      <c r="AD51" s="22"/>
      <c r="AE51" s="33"/>
      <c r="AF51" s="19"/>
      <c r="AG51" s="22"/>
      <c r="AH51" s="33"/>
      <c r="AI51" s="19"/>
      <c r="AJ51" s="22"/>
      <c r="AK51" s="33"/>
      <c r="AL51" s="19"/>
      <c r="AM51" s="22"/>
      <c r="AN51" s="33"/>
      <c r="AO51" s="19"/>
      <c r="AP51" s="22"/>
      <c r="AQ51" s="33"/>
      <c r="AR51" s="19"/>
      <c r="AS51" s="22"/>
      <c r="AT51" s="33"/>
      <c r="AU51" s="19"/>
      <c r="AV51" s="22"/>
      <c r="AW51" s="33"/>
      <c r="AX51" s="19"/>
      <c r="AY51" s="22"/>
      <c r="AZ51" s="33"/>
      <c r="BA51" s="19"/>
      <c r="BB51" s="22"/>
      <c r="BC51" s="33"/>
      <c r="BD51" s="19"/>
      <c r="BE51" s="22"/>
      <c r="BF51" s="33"/>
      <c r="BG51" s="19"/>
      <c r="BH51" s="22"/>
      <c r="BI51" s="33"/>
      <c r="BJ51" s="19"/>
      <c r="BK51" s="22"/>
      <c r="BL51" s="33"/>
      <c r="BM51" s="19"/>
      <c r="BN51" s="22"/>
      <c r="BO51" s="33"/>
      <c r="BP51" s="19"/>
      <c r="BQ51" s="22"/>
      <c r="BR51" s="33"/>
      <c r="BS51" s="19"/>
      <c r="BT51" s="22"/>
      <c r="BU51" s="33"/>
      <c r="BV51" s="19"/>
      <c r="BW51" s="22"/>
      <c r="BX51" s="33"/>
      <c r="BY51" s="19"/>
      <c r="BZ51" s="22"/>
      <c r="CA51" s="33"/>
      <c r="CB51" s="19"/>
      <c r="CC51" s="22"/>
      <c r="CD51" s="33"/>
      <c r="CE51" s="19"/>
      <c r="CF51" s="22"/>
      <c r="CG51" s="33"/>
      <c r="CH51" s="19"/>
      <c r="CI51" s="22"/>
      <c r="CJ51" s="33"/>
      <c r="CK51" s="19"/>
      <c r="CL51" s="22"/>
      <c r="CM51" s="33"/>
      <c r="CN51" s="19"/>
      <c r="CO51" s="22"/>
      <c r="CP51" s="33"/>
      <c r="CQ51" s="19"/>
      <c r="CR51" s="22"/>
      <c r="CS51" s="33"/>
      <c r="CT51" s="19"/>
      <c r="CU51" s="19"/>
    </row>
    <row r="52">
      <c r="A52" s="12"/>
      <c r="B52" s="24"/>
      <c r="C52" s="30"/>
      <c r="D52" s="34"/>
      <c r="E52" s="16"/>
      <c r="F52" s="36"/>
      <c r="G52" s="32"/>
      <c r="H52" s="16"/>
      <c r="I52" s="36"/>
      <c r="J52" s="32"/>
      <c r="K52" s="16"/>
      <c r="L52" s="36"/>
      <c r="M52" s="32"/>
      <c r="N52" s="19"/>
      <c r="O52" s="22"/>
      <c r="P52" s="33"/>
      <c r="Q52" s="19"/>
      <c r="R52" s="22"/>
      <c r="S52" s="33"/>
      <c r="T52" s="19"/>
      <c r="U52" s="20"/>
      <c r="V52" s="33"/>
      <c r="W52" s="19"/>
      <c r="X52" s="22"/>
      <c r="Y52" s="33"/>
      <c r="Z52" s="19"/>
      <c r="AA52" s="22"/>
      <c r="AB52" s="33"/>
      <c r="AC52" s="19"/>
      <c r="AD52" s="22"/>
      <c r="AE52" s="33"/>
      <c r="AF52" s="19"/>
      <c r="AG52" s="22"/>
      <c r="AH52" s="33"/>
      <c r="AI52" s="19"/>
      <c r="AJ52" s="22"/>
      <c r="AK52" s="33"/>
      <c r="AL52" s="19"/>
      <c r="AM52" s="22"/>
      <c r="AN52" s="33"/>
      <c r="AO52" s="19"/>
      <c r="AP52" s="22"/>
      <c r="AQ52" s="33"/>
      <c r="AR52" s="19"/>
      <c r="AS52" s="22"/>
      <c r="AT52" s="33"/>
      <c r="AU52" s="19"/>
      <c r="AV52" s="22"/>
      <c r="AW52" s="33"/>
      <c r="AX52" s="19"/>
      <c r="AY52" s="22"/>
      <c r="AZ52" s="33"/>
      <c r="BA52" s="19"/>
      <c r="BB52" s="22"/>
      <c r="BC52" s="33"/>
      <c r="BD52" s="19"/>
      <c r="BE52" s="22"/>
      <c r="BF52" s="33"/>
      <c r="BG52" s="19"/>
      <c r="BH52" s="22"/>
      <c r="BI52" s="33"/>
      <c r="BJ52" s="19"/>
      <c r="BK52" s="22"/>
      <c r="BL52" s="33"/>
      <c r="BM52" s="19"/>
      <c r="BN52" s="22"/>
      <c r="BO52" s="33"/>
      <c r="BP52" s="19"/>
      <c r="BQ52" s="22"/>
      <c r="BR52" s="33"/>
      <c r="BS52" s="19"/>
      <c r="BT52" s="22"/>
      <c r="BU52" s="33"/>
      <c r="BV52" s="19"/>
      <c r="BW52" s="22"/>
      <c r="BX52" s="33"/>
      <c r="BY52" s="19"/>
      <c r="BZ52" s="22"/>
      <c r="CA52" s="33"/>
      <c r="CB52" s="19"/>
      <c r="CC52" s="22"/>
      <c r="CD52" s="33"/>
      <c r="CE52" s="19"/>
      <c r="CF52" s="22"/>
      <c r="CG52" s="33"/>
      <c r="CH52" s="19"/>
      <c r="CI52" s="22"/>
      <c r="CJ52" s="33"/>
      <c r="CK52" s="19"/>
      <c r="CL52" s="22"/>
      <c r="CM52" s="33"/>
      <c r="CN52" s="19"/>
      <c r="CO52" s="22"/>
      <c r="CP52" s="33"/>
      <c r="CQ52" s="19"/>
      <c r="CR52" s="22"/>
      <c r="CS52" s="33"/>
      <c r="CT52" s="19"/>
      <c r="CU52" s="19"/>
    </row>
    <row r="53" ht="24.75" customHeight="1">
      <c r="A53" s="39"/>
      <c r="B53" s="39"/>
      <c r="C53" s="40"/>
      <c r="D53" s="41"/>
      <c r="E53" s="16"/>
      <c r="F53" s="41"/>
      <c r="G53" s="41"/>
      <c r="H53" s="41"/>
      <c r="I53" s="41"/>
      <c r="J53" s="41"/>
      <c r="K53" s="41"/>
      <c r="L53" s="41"/>
      <c r="M53" s="41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</row>
    <row r="54"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D924" s="43"/>
      <c r="E924" s="43"/>
      <c r="F924" s="43"/>
      <c r="G924" s="43"/>
      <c r="H924" s="43"/>
      <c r="I924" s="43"/>
      <c r="J924" s="43"/>
      <c r="K924" s="43"/>
      <c r="L924" s="43"/>
      <c r="M924" s="43"/>
    </row>
    <row r="925">
      <c r="D925" s="43"/>
      <c r="E925" s="43"/>
      <c r="F925" s="43"/>
      <c r="G925" s="43"/>
      <c r="H925" s="43"/>
      <c r="I925" s="43"/>
      <c r="J925" s="43"/>
      <c r="K925" s="43"/>
      <c r="L925" s="43"/>
      <c r="M925" s="43"/>
    </row>
    <row r="926"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>
      <c r="D927" s="43"/>
      <c r="E927" s="43"/>
      <c r="F927" s="43"/>
      <c r="G927" s="43"/>
      <c r="H927" s="43"/>
      <c r="I927" s="43"/>
      <c r="J927" s="43"/>
      <c r="K927" s="43"/>
      <c r="L927" s="43"/>
      <c r="M927" s="43"/>
    </row>
    <row r="928">
      <c r="D928" s="43"/>
      <c r="E928" s="43"/>
      <c r="F928" s="43"/>
      <c r="G928" s="43"/>
      <c r="H928" s="43"/>
      <c r="I928" s="43"/>
      <c r="J928" s="43"/>
      <c r="K928" s="43"/>
      <c r="L928" s="43"/>
      <c r="M928" s="43"/>
    </row>
    <row r="929">
      <c r="D929" s="43"/>
      <c r="E929" s="43"/>
      <c r="F929" s="43"/>
      <c r="G929" s="43"/>
      <c r="H929" s="43"/>
      <c r="I929" s="43"/>
      <c r="J929" s="43"/>
      <c r="K929" s="43"/>
      <c r="L929" s="43"/>
      <c r="M929" s="43"/>
    </row>
    <row r="930">
      <c r="D930" s="43"/>
      <c r="E930" s="43"/>
      <c r="F930" s="43"/>
      <c r="G930" s="43"/>
      <c r="H930" s="43"/>
      <c r="I930" s="43"/>
      <c r="J930" s="43"/>
      <c r="K930" s="43"/>
      <c r="L930" s="43"/>
      <c r="M930" s="43"/>
    </row>
    <row r="931">
      <c r="D931" s="43"/>
      <c r="E931" s="43"/>
      <c r="F931" s="43"/>
      <c r="G931" s="43"/>
      <c r="H931" s="43"/>
      <c r="I931" s="43"/>
      <c r="J931" s="43"/>
      <c r="K931" s="43"/>
      <c r="L931" s="43"/>
      <c r="M931" s="43"/>
    </row>
    <row r="932">
      <c r="D932" s="43"/>
      <c r="E932" s="43"/>
      <c r="F932" s="43"/>
      <c r="G932" s="43"/>
      <c r="H932" s="43"/>
      <c r="I932" s="43"/>
      <c r="J932" s="43"/>
      <c r="K932" s="43"/>
      <c r="L932" s="43"/>
      <c r="M932" s="43"/>
    </row>
    <row r="933">
      <c r="D933" s="43"/>
      <c r="E933" s="43"/>
      <c r="F933" s="43"/>
      <c r="G933" s="43"/>
      <c r="H933" s="43"/>
      <c r="I933" s="43"/>
      <c r="J933" s="43"/>
      <c r="K933" s="43"/>
      <c r="L933" s="43"/>
      <c r="M933" s="43"/>
    </row>
    <row r="934">
      <c r="D934" s="43"/>
      <c r="E934" s="43"/>
      <c r="F934" s="43"/>
      <c r="G934" s="43"/>
      <c r="H934" s="43"/>
      <c r="I934" s="43"/>
      <c r="J934" s="43"/>
      <c r="K934" s="43"/>
      <c r="L934" s="43"/>
      <c r="M934" s="43"/>
    </row>
    <row r="935">
      <c r="D935" s="43"/>
      <c r="E935" s="43"/>
      <c r="F935" s="43"/>
      <c r="G935" s="43"/>
      <c r="H935" s="43"/>
      <c r="I935" s="43"/>
      <c r="J935" s="43"/>
      <c r="K935" s="43"/>
      <c r="L935" s="43"/>
      <c r="M935" s="43"/>
    </row>
    <row r="936">
      <c r="D936" s="43"/>
      <c r="E936" s="43"/>
      <c r="F936" s="43"/>
      <c r="G936" s="43"/>
      <c r="H936" s="43"/>
      <c r="I936" s="43"/>
      <c r="J936" s="43"/>
      <c r="K936" s="43"/>
      <c r="L936" s="43"/>
      <c r="M936" s="43"/>
    </row>
    <row r="937">
      <c r="D937" s="43"/>
      <c r="E937" s="43"/>
      <c r="F937" s="43"/>
      <c r="G937" s="43"/>
      <c r="H937" s="43"/>
      <c r="I937" s="43"/>
      <c r="J937" s="43"/>
      <c r="K937" s="43"/>
      <c r="L937" s="43"/>
      <c r="M937" s="43"/>
    </row>
    <row r="938">
      <c r="D938" s="43"/>
      <c r="E938" s="43"/>
      <c r="F938" s="43"/>
      <c r="G938" s="43"/>
      <c r="H938" s="43"/>
      <c r="I938" s="43"/>
      <c r="J938" s="43"/>
      <c r="K938" s="43"/>
      <c r="L938" s="43"/>
      <c r="M938" s="43"/>
    </row>
    <row r="939">
      <c r="D939" s="43"/>
      <c r="E939" s="43"/>
      <c r="F939" s="43"/>
      <c r="G939" s="43"/>
      <c r="H939" s="43"/>
      <c r="I939" s="43"/>
      <c r="J939" s="43"/>
      <c r="K939" s="43"/>
      <c r="L939" s="43"/>
      <c r="M939" s="43"/>
    </row>
    <row r="940">
      <c r="D940" s="43"/>
      <c r="E940" s="43"/>
      <c r="F940" s="43"/>
      <c r="G940" s="43"/>
      <c r="H940" s="43"/>
      <c r="I940" s="43"/>
      <c r="J940" s="43"/>
      <c r="K940" s="43"/>
      <c r="L940" s="43"/>
      <c r="M940" s="43"/>
    </row>
    <row r="941">
      <c r="D941" s="43"/>
      <c r="E941" s="43"/>
      <c r="F941" s="43"/>
      <c r="G941" s="43"/>
      <c r="H941" s="43"/>
      <c r="I941" s="43"/>
      <c r="J941" s="43"/>
      <c r="K941" s="43"/>
      <c r="L941" s="43"/>
      <c r="M941" s="43"/>
    </row>
    <row r="942">
      <c r="D942" s="43"/>
      <c r="E942" s="43"/>
      <c r="F942" s="43"/>
      <c r="G942" s="43"/>
      <c r="H942" s="43"/>
      <c r="I942" s="43"/>
      <c r="J942" s="43"/>
      <c r="K942" s="43"/>
      <c r="L942" s="43"/>
      <c r="M942" s="43"/>
    </row>
    <row r="943">
      <c r="D943" s="43"/>
      <c r="E943" s="43"/>
      <c r="F943" s="43"/>
      <c r="G943" s="43"/>
      <c r="H943" s="43"/>
      <c r="I943" s="43"/>
      <c r="J943" s="43"/>
      <c r="K943" s="43"/>
      <c r="L943" s="43"/>
      <c r="M943" s="43"/>
    </row>
    <row r="944">
      <c r="D944" s="43"/>
      <c r="E944" s="43"/>
      <c r="F944" s="43"/>
      <c r="G944" s="43"/>
      <c r="H944" s="43"/>
      <c r="I944" s="43"/>
      <c r="J944" s="43"/>
      <c r="K944" s="43"/>
      <c r="L944" s="43"/>
      <c r="M944" s="43"/>
    </row>
    <row r="945">
      <c r="D945" s="43"/>
      <c r="E945" s="43"/>
      <c r="F945" s="43"/>
      <c r="G945" s="43"/>
      <c r="H945" s="43"/>
      <c r="I945" s="43"/>
      <c r="J945" s="43"/>
      <c r="K945" s="43"/>
      <c r="L945" s="43"/>
      <c r="M945" s="43"/>
    </row>
    <row r="946">
      <c r="D946" s="43"/>
      <c r="E946" s="43"/>
      <c r="F946" s="43"/>
      <c r="G946" s="43"/>
      <c r="H946" s="43"/>
      <c r="I946" s="43"/>
      <c r="J946" s="43"/>
      <c r="K946" s="43"/>
      <c r="L946" s="43"/>
      <c r="M946" s="43"/>
    </row>
    <row r="947">
      <c r="D947" s="43"/>
      <c r="E947" s="43"/>
      <c r="F947" s="43"/>
      <c r="G947" s="43"/>
      <c r="H947" s="43"/>
      <c r="I947" s="43"/>
      <c r="J947" s="43"/>
      <c r="K947" s="43"/>
      <c r="L947" s="43"/>
      <c r="M947" s="43"/>
    </row>
    <row r="948">
      <c r="D948" s="43"/>
      <c r="E948" s="43"/>
      <c r="F948" s="43"/>
      <c r="G948" s="43"/>
      <c r="H948" s="43"/>
      <c r="I948" s="43"/>
      <c r="J948" s="43"/>
      <c r="K948" s="43"/>
      <c r="L948" s="43"/>
      <c r="M948" s="43"/>
    </row>
    <row r="949">
      <c r="D949" s="43"/>
      <c r="E949" s="43"/>
      <c r="F949" s="43"/>
      <c r="G949" s="43"/>
      <c r="H949" s="43"/>
      <c r="I949" s="43"/>
      <c r="J949" s="43"/>
      <c r="K949" s="43"/>
      <c r="L949" s="43"/>
      <c r="M949" s="43"/>
    </row>
    <row r="950">
      <c r="D950" s="43"/>
      <c r="E950" s="43"/>
      <c r="F950" s="43"/>
      <c r="G950" s="43"/>
      <c r="H950" s="43"/>
      <c r="I950" s="43"/>
      <c r="J950" s="43"/>
      <c r="K950" s="43"/>
      <c r="L950" s="43"/>
      <c r="M950" s="43"/>
    </row>
    <row r="951">
      <c r="D951" s="43"/>
      <c r="E951" s="43"/>
      <c r="F951" s="43"/>
      <c r="G951" s="43"/>
      <c r="H951" s="43"/>
      <c r="I951" s="43"/>
      <c r="J951" s="43"/>
      <c r="K951" s="43"/>
      <c r="L951" s="43"/>
      <c r="M951" s="43"/>
    </row>
    <row r="952">
      <c r="D952" s="43"/>
      <c r="E952" s="43"/>
      <c r="F952" s="43"/>
      <c r="G952" s="43"/>
      <c r="H952" s="43"/>
      <c r="I952" s="43"/>
      <c r="J952" s="43"/>
      <c r="K952" s="43"/>
      <c r="L952" s="43"/>
      <c r="M952" s="43"/>
    </row>
    <row r="953">
      <c r="D953" s="43"/>
      <c r="E953" s="43"/>
      <c r="F953" s="43"/>
      <c r="G953" s="43"/>
      <c r="H953" s="43"/>
      <c r="I953" s="43"/>
      <c r="J953" s="43"/>
      <c r="K953" s="43"/>
      <c r="L953" s="43"/>
      <c r="M953" s="43"/>
    </row>
    <row r="954">
      <c r="D954" s="43"/>
      <c r="E954" s="43"/>
      <c r="F954" s="43"/>
      <c r="G954" s="43"/>
      <c r="H954" s="43"/>
      <c r="I954" s="43"/>
      <c r="J954" s="43"/>
      <c r="K954" s="43"/>
      <c r="L954" s="43"/>
      <c r="M954" s="43"/>
    </row>
    <row r="955">
      <c r="D955" s="43"/>
      <c r="E955" s="43"/>
      <c r="F955" s="43"/>
      <c r="G955" s="43"/>
      <c r="H955" s="43"/>
      <c r="I955" s="43"/>
      <c r="J955" s="43"/>
      <c r="K955" s="43"/>
      <c r="L955" s="43"/>
      <c r="M955" s="43"/>
    </row>
    <row r="956">
      <c r="D956" s="43"/>
      <c r="E956" s="43"/>
      <c r="F956" s="43"/>
      <c r="G956" s="43"/>
      <c r="H956" s="43"/>
      <c r="I956" s="43"/>
      <c r="J956" s="43"/>
      <c r="K956" s="43"/>
      <c r="L956" s="43"/>
      <c r="M956" s="43"/>
    </row>
    <row r="957">
      <c r="D957" s="43"/>
      <c r="E957" s="43"/>
      <c r="F957" s="43"/>
      <c r="G957" s="43"/>
      <c r="H957" s="43"/>
      <c r="I957" s="43"/>
      <c r="J957" s="43"/>
      <c r="K957" s="43"/>
      <c r="L957" s="43"/>
      <c r="M957" s="43"/>
    </row>
    <row r="958">
      <c r="D958" s="43"/>
      <c r="E958" s="43"/>
      <c r="F958" s="43"/>
      <c r="G958" s="43"/>
      <c r="H958" s="43"/>
      <c r="I958" s="43"/>
      <c r="J958" s="43"/>
      <c r="K958" s="43"/>
      <c r="L958" s="43"/>
      <c r="M958" s="43"/>
    </row>
    <row r="959">
      <c r="D959" s="43"/>
      <c r="E959" s="43"/>
      <c r="F959" s="43"/>
      <c r="G959" s="43"/>
      <c r="H959" s="43"/>
      <c r="I959" s="43"/>
      <c r="J959" s="43"/>
      <c r="K959" s="43"/>
      <c r="L959" s="43"/>
      <c r="M959" s="43"/>
    </row>
    <row r="960">
      <c r="D960" s="43"/>
      <c r="E960" s="43"/>
      <c r="F960" s="43"/>
      <c r="G960" s="43"/>
      <c r="H960" s="43"/>
      <c r="I960" s="43"/>
      <c r="J960" s="43"/>
      <c r="K960" s="43"/>
      <c r="L960" s="43"/>
      <c r="M960" s="43"/>
    </row>
    <row r="961">
      <c r="D961" s="43"/>
      <c r="E961" s="43"/>
      <c r="F961" s="43"/>
      <c r="G961" s="43"/>
      <c r="H961" s="43"/>
      <c r="I961" s="43"/>
      <c r="J961" s="43"/>
      <c r="K961" s="43"/>
      <c r="L961" s="43"/>
      <c r="M961" s="43"/>
    </row>
    <row r="962">
      <c r="D962" s="43"/>
      <c r="E962" s="43"/>
      <c r="F962" s="43"/>
      <c r="G962" s="43"/>
      <c r="H962" s="43"/>
      <c r="I962" s="43"/>
      <c r="J962" s="43"/>
      <c r="K962" s="43"/>
      <c r="L962" s="43"/>
      <c r="M962" s="43"/>
    </row>
    <row r="963">
      <c r="D963" s="43"/>
      <c r="E963" s="43"/>
      <c r="F963" s="43"/>
      <c r="G963" s="43"/>
      <c r="H963" s="43"/>
      <c r="I963" s="43"/>
      <c r="J963" s="43"/>
      <c r="K963" s="43"/>
      <c r="L963" s="43"/>
      <c r="M963" s="43"/>
    </row>
    <row r="964">
      <c r="D964" s="43"/>
      <c r="E964" s="43"/>
      <c r="F964" s="43"/>
      <c r="G964" s="43"/>
      <c r="H964" s="43"/>
      <c r="I964" s="43"/>
      <c r="J964" s="43"/>
      <c r="K964" s="43"/>
      <c r="L964" s="43"/>
      <c r="M964" s="43"/>
    </row>
    <row r="965">
      <c r="D965" s="43"/>
      <c r="E965" s="43"/>
      <c r="F965" s="43"/>
      <c r="G965" s="43"/>
      <c r="H965" s="43"/>
      <c r="I965" s="43"/>
      <c r="J965" s="43"/>
      <c r="K965" s="43"/>
      <c r="L965" s="43"/>
      <c r="M965" s="43"/>
    </row>
    <row r="966">
      <c r="D966" s="43"/>
      <c r="E966" s="43"/>
      <c r="F966" s="43"/>
      <c r="G966" s="43"/>
      <c r="H966" s="43"/>
      <c r="I966" s="43"/>
      <c r="J966" s="43"/>
      <c r="K966" s="43"/>
      <c r="L966" s="43"/>
      <c r="M966" s="43"/>
    </row>
    <row r="967">
      <c r="D967" s="43"/>
      <c r="E967" s="43"/>
      <c r="F967" s="43"/>
      <c r="G967" s="43"/>
      <c r="H967" s="43"/>
      <c r="I967" s="43"/>
      <c r="J967" s="43"/>
      <c r="K967" s="43"/>
      <c r="L967" s="43"/>
      <c r="M967" s="43"/>
    </row>
    <row r="968">
      <c r="D968" s="43"/>
      <c r="E968" s="43"/>
      <c r="F968" s="43"/>
      <c r="G968" s="43"/>
      <c r="H968" s="43"/>
      <c r="I968" s="43"/>
      <c r="J968" s="43"/>
      <c r="K968" s="43"/>
      <c r="L968" s="43"/>
      <c r="M968" s="43"/>
    </row>
    <row r="969">
      <c r="D969" s="43"/>
      <c r="E969" s="43"/>
      <c r="F969" s="43"/>
      <c r="G969" s="43"/>
      <c r="H969" s="43"/>
      <c r="I969" s="43"/>
      <c r="J969" s="43"/>
      <c r="K969" s="43"/>
      <c r="L969" s="43"/>
      <c r="M969" s="43"/>
    </row>
    <row r="970">
      <c r="D970" s="43"/>
      <c r="E970" s="43"/>
      <c r="F970" s="43"/>
      <c r="G970" s="43"/>
      <c r="H970" s="43"/>
      <c r="I970" s="43"/>
      <c r="J970" s="43"/>
      <c r="K970" s="43"/>
      <c r="L970" s="43"/>
      <c r="M970" s="43"/>
    </row>
    <row r="971">
      <c r="D971" s="43"/>
      <c r="E971" s="43"/>
      <c r="F971" s="43"/>
      <c r="G971" s="43"/>
      <c r="H971" s="43"/>
      <c r="I971" s="43"/>
      <c r="J971" s="43"/>
      <c r="K971" s="43"/>
      <c r="L971" s="43"/>
      <c r="M971" s="43"/>
    </row>
    <row r="972">
      <c r="D972" s="43"/>
      <c r="E972" s="43"/>
      <c r="F972" s="43"/>
      <c r="G972" s="43"/>
      <c r="H972" s="43"/>
      <c r="I972" s="43"/>
      <c r="J972" s="43"/>
      <c r="K972" s="43"/>
      <c r="L972" s="43"/>
      <c r="M972" s="43"/>
    </row>
    <row r="973">
      <c r="D973" s="43"/>
      <c r="E973" s="43"/>
      <c r="F973" s="43"/>
      <c r="G973" s="43"/>
      <c r="H973" s="43"/>
      <c r="I973" s="43"/>
      <c r="J973" s="43"/>
      <c r="K973" s="43"/>
      <c r="L973" s="43"/>
      <c r="M973" s="43"/>
    </row>
    <row r="974">
      <c r="D974" s="43"/>
      <c r="E974" s="43"/>
      <c r="F974" s="43"/>
      <c r="G974" s="43"/>
      <c r="H974" s="43"/>
      <c r="I974" s="43"/>
      <c r="J974" s="43"/>
      <c r="K974" s="43"/>
      <c r="L974" s="43"/>
      <c r="M974" s="43"/>
    </row>
    <row r="975">
      <c r="D975" s="43"/>
      <c r="E975" s="43"/>
      <c r="F975" s="43"/>
      <c r="G975" s="43"/>
      <c r="H975" s="43"/>
      <c r="I975" s="43"/>
      <c r="J975" s="43"/>
      <c r="K975" s="43"/>
      <c r="L975" s="43"/>
      <c r="M975" s="43"/>
    </row>
    <row r="976">
      <c r="D976" s="43"/>
      <c r="E976" s="43"/>
      <c r="F976" s="43"/>
      <c r="G976" s="43"/>
      <c r="H976" s="43"/>
      <c r="I976" s="43"/>
      <c r="J976" s="43"/>
      <c r="K976" s="43"/>
      <c r="L976" s="43"/>
      <c r="M976" s="43"/>
    </row>
    <row r="977">
      <c r="D977" s="43"/>
      <c r="E977" s="43"/>
      <c r="F977" s="43"/>
      <c r="G977" s="43"/>
      <c r="H977" s="43"/>
      <c r="I977" s="43"/>
      <c r="J977" s="43"/>
      <c r="K977" s="43"/>
      <c r="L977" s="43"/>
      <c r="M977" s="43"/>
    </row>
    <row r="978">
      <c r="D978" s="43"/>
      <c r="E978" s="43"/>
      <c r="F978" s="43"/>
      <c r="G978" s="43"/>
      <c r="H978" s="43"/>
      <c r="I978" s="43"/>
      <c r="J978" s="43"/>
      <c r="K978" s="43"/>
      <c r="L978" s="43"/>
      <c r="M978" s="43"/>
    </row>
    <row r="979">
      <c r="D979" s="43"/>
      <c r="E979" s="43"/>
      <c r="F979" s="43"/>
      <c r="G979" s="43"/>
      <c r="H979" s="43"/>
      <c r="I979" s="43"/>
      <c r="J979" s="43"/>
      <c r="K979" s="43"/>
      <c r="L979" s="43"/>
      <c r="M979" s="43"/>
    </row>
    <row r="980">
      <c r="D980" s="43"/>
      <c r="E980" s="43"/>
      <c r="F980" s="43"/>
      <c r="G980" s="43"/>
      <c r="H980" s="43"/>
      <c r="I980" s="43"/>
      <c r="J980" s="43"/>
      <c r="K980" s="43"/>
      <c r="L980" s="43"/>
      <c r="M980" s="43"/>
    </row>
    <row r="981">
      <c r="D981" s="43"/>
      <c r="E981" s="43"/>
      <c r="F981" s="43"/>
      <c r="G981" s="43"/>
      <c r="H981" s="43"/>
      <c r="I981" s="43"/>
      <c r="J981" s="43"/>
      <c r="K981" s="43"/>
      <c r="L981" s="43"/>
      <c r="M981" s="43"/>
    </row>
    <row r="982">
      <c r="D982" s="43"/>
      <c r="E982" s="43"/>
      <c r="F982" s="43"/>
      <c r="G982" s="43"/>
      <c r="H982" s="43"/>
      <c r="I982" s="43"/>
      <c r="J982" s="43"/>
      <c r="K982" s="43"/>
      <c r="L982" s="43"/>
      <c r="M982" s="43"/>
    </row>
    <row r="983">
      <c r="D983" s="43"/>
      <c r="E983" s="43"/>
      <c r="F983" s="43"/>
      <c r="G983" s="43"/>
      <c r="H983" s="43"/>
      <c r="I983" s="43"/>
      <c r="J983" s="43"/>
      <c r="K983" s="43"/>
      <c r="L983" s="43"/>
      <c r="M983" s="43"/>
    </row>
    <row r="984">
      <c r="D984" s="43"/>
      <c r="E984" s="43"/>
      <c r="F984" s="43"/>
      <c r="G984" s="43"/>
      <c r="H984" s="43"/>
      <c r="I984" s="43"/>
      <c r="J984" s="43"/>
      <c r="K984" s="43"/>
      <c r="L984" s="43"/>
      <c r="M984" s="43"/>
    </row>
    <row r="985">
      <c r="D985" s="43"/>
      <c r="E985" s="43"/>
      <c r="F985" s="43"/>
      <c r="G985" s="43"/>
      <c r="H985" s="43"/>
      <c r="I985" s="43"/>
      <c r="J985" s="43"/>
      <c r="K985" s="43"/>
      <c r="L985" s="43"/>
      <c r="M985" s="43"/>
    </row>
    <row r="986">
      <c r="D986" s="43"/>
      <c r="E986" s="43"/>
      <c r="F986" s="43"/>
      <c r="G986" s="43"/>
      <c r="H986" s="43"/>
      <c r="I986" s="43"/>
      <c r="J986" s="43"/>
      <c r="K986" s="43"/>
      <c r="L986" s="43"/>
      <c r="M986" s="43"/>
    </row>
    <row r="987">
      <c r="D987" s="43"/>
      <c r="E987" s="43"/>
      <c r="F987" s="43"/>
      <c r="G987" s="43"/>
      <c r="H987" s="43"/>
      <c r="I987" s="43"/>
      <c r="J987" s="43"/>
      <c r="K987" s="43"/>
      <c r="L987" s="43"/>
      <c r="M987" s="43"/>
    </row>
    <row r="988">
      <c r="D988" s="43"/>
      <c r="E988" s="43"/>
      <c r="F988" s="43"/>
      <c r="G988" s="43"/>
      <c r="H988" s="43"/>
      <c r="I988" s="43"/>
      <c r="J988" s="43"/>
      <c r="K988" s="43"/>
      <c r="L988" s="43"/>
      <c r="M988" s="43"/>
    </row>
    <row r="989">
      <c r="D989" s="43"/>
      <c r="E989" s="43"/>
      <c r="F989" s="43"/>
      <c r="G989" s="43"/>
      <c r="H989" s="43"/>
      <c r="I989" s="43"/>
      <c r="J989" s="43"/>
      <c r="K989" s="43"/>
      <c r="L989" s="43"/>
      <c r="M989" s="43"/>
    </row>
    <row r="990">
      <c r="D990" s="43"/>
      <c r="E990" s="43"/>
      <c r="F990" s="43"/>
      <c r="G990" s="43"/>
      <c r="H990" s="43"/>
      <c r="I990" s="43"/>
      <c r="J990" s="43"/>
      <c r="K990" s="43"/>
      <c r="L990" s="43"/>
      <c r="M990" s="43"/>
    </row>
    <row r="991">
      <c r="D991" s="43"/>
      <c r="E991" s="43"/>
      <c r="F991" s="43"/>
      <c r="G991" s="43"/>
      <c r="H991" s="43"/>
      <c r="I991" s="43"/>
      <c r="J991" s="43"/>
      <c r="K991" s="43"/>
      <c r="L991" s="43"/>
      <c r="M991" s="43"/>
    </row>
    <row r="992">
      <c r="D992" s="43"/>
      <c r="E992" s="43"/>
      <c r="F992" s="43"/>
      <c r="G992" s="43"/>
      <c r="H992" s="43"/>
      <c r="I992" s="43"/>
      <c r="J992" s="43"/>
      <c r="K992" s="43"/>
      <c r="L992" s="43"/>
      <c r="M992" s="43"/>
    </row>
    <row r="993">
      <c r="D993" s="43"/>
      <c r="E993" s="43"/>
      <c r="F993" s="43"/>
      <c r="G993" s="43"/>
      <c r="H993" s="43"/>
      <c r="I993" s="43"/>
      <c r="J993" s="43"/>
      <c r="K993" s="43"/>
      <c r="L993" s="43"/>
      <c r="M993" s="43"/>
    </row>
    <row r="994">
      <c r="D994" s="43"/>
      <c r="E994" s="43"/>
      <c r="F994" s="43"/>
      <c r="G994" s="43"/>
      <c r="H994" s="43"/>
      <c r="I994" s="43"/>
      <c r="J994" s="43"/>
      <c r="K994" s="43"/>
      <c r="L994" s="43"/>
      <c r="M994" s="43"/>
    </row>
    <row r="995">
      <c r="D995" s="43"/>
      <c r="E995" s="43"/>
      <c r="F995" s="43"/>
      <c r="G995" s="43"/>
      <c r="H995" s="43"/>
      <c r="I995" s="43"/>
      <c r="J995" s="43"/>
      <c r="K995" s="43"/>
      <c r="L995" s="43"/>
      <c r="M995" s="43"/>
    </row>
    <row r="996">
      <c r="D996" s="43"/>
      <c r="E996" s="43"/>
      <c r="F996" s="43"/>
      <c r="G996" s="43"/>
      <c r="H996" s="43"/>
      <c r="I996" s="43"/>
      <c r="J996" s="43"/>
      <c r="K996" s="43"/>
      <c r="L996" s="43"/>
      <c r="M996" s="43"/>
    </row>
    <row r="997">
      <c r="D997" s="43"/>
      <c r="E997" s="43"/>
      <c r="F997" s="43"/>
      <c r="G997" s="43"/>
      <c r="H997" s="43"/>
      <c r="I997" s="43"/>
      <c r="J997" s="43"/>
      <c r="K997" s="43"/>
      <c r="L997" s="43"/>
      <c r="M997" s="43"/>
    </row>
    <row r="998">
      <c r="D998" s="43"/>
      <c r="E998" s="43"/>
      <c r="F998" s="43"/>
      <c r="G998" s="43"/>
      <c r="H998" s="43"/>
      <c r="I998" s="43"/>
      <c r="J998" s="43"/>
      <c r="K998" s="43"/>
      <c r="L998" s="43"/>
      <c r="M998" s="43"/>
    </row>
    <row r="999">
      <c r="D999" s="43"/>
      <c r="E999" s="43"/>
      <c r="F999" s="43"/>
      <c r="G999" s="43"/>
      <c r="H999" s="43"/>
      <c r="I999" s="43"/>
      <c r="J999" s="43"/>
      <c r="K999" s="43"/>
      <c r="L999" s="43"/>
      <c r="M999" s="43"/>
    </row>
    <row r="1000"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</row>
    <row r="1001"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</row>
    <row r="1002"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</row>
    <row r="1003"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</row>
    <row r="1004"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</row>
    <row r="1005"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</row>
    <row r="1006"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</row>
    <row r="1007"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</row>
    <row r="1008"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</row>
    <row r="1009"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</row>
    <row r="1010"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</row>
    <row r="1011"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</row>
    <row r="1012"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</row>
    <row r="1013"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</row>
    <row r="1014"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</row>
    <row r="1015"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</row>
    <row r="1016"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</row>
    <row r="1017"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</row>
    <row r="1018"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</row>
    <row r="1019"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</row>
    <row r="1020"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</row>
    <row r="1021"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</row>
    <row r="1022"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</row>
    <row r="1023"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</row>
    <row r="1024"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</row>
    <row r="1025"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</row>
    <row r="1026"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</row>
    <row r="1027"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</row>
    <row r="1028"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</row>
    <row r="1029"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</row>
    <row r="1030"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</row>
    <row r="1031"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</row>
  </sheetData>
  <mergeCells count="34">
    <mergeCell ref="A1:A2"/>
    <mergeCell ref="B1:B2"/>
    <mergeCell ref="C1:C2"/>
    <mergeCell ref="E1:G1"/>
    <mergeCell ref="H1:K1"/>
    <mergeCell ref="L1:O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CE1:CG1"/>
    <mergeCell ref="CH1:CJ1"/>
    <mergeCell ref="CK1:CM1"/>
    <mergeCell ref="CN1:CP1"/>
    <mergeCell ref="CQ1:CS1"/>
    <mergeCell ref="CT1:CU1"/>
    <mergeCell ref="BJ1:BL1"/>
    <mergeCell ref="BM1:BO1"/>
    <mergeCell ref="BP1:BR1"/>
    <mergeCell ref="BS1:BU1"/>
    <mergeCell ref="BV1:BX1"/>
    <mergeCell ref="BY1:CA1"/>
    <mergeCell ref="CB1:C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3.75"/>
    <col customWidth="1" min="3" max="3" width="10.13"/>
    <col customWidth="1" min="4" max="4" width="14.13"/>
    <col customWidth="1" min="5" max="5" width="15.0"/>
    <col customWidth="1" min="6" max="6" width="17.13"/>
  </cols>
  <sheetData>
    <row r="1" ht="27.0" customHeight="1">
      <c r="A1" s="44" t="s">
        <v>34</v>
      </c>
      <c r="B1" s="6"/>
      <c r="C1" s="7"/>
      <c r="D1" s="45">
        <v>46159.0</v>
      </c>
      <c r="E1" s="6"/>
      <c r="F1" s="7"/>
    </row>
    <row r="2" ht="27.0" customHeight="1">
      <c r="A2" s="46"/>
      <c r="B2" s="47" t="s">
        <v>35</v>
      </c>
      <c r="C2" s="47" t="s">
        <v>36</v>
      </c>
      <c r="D2" s="47" t="s">
        <v>37</v>
      </c>
      <c r="E2" s="46" t="s">
        <v>38</v>
      </c>
      <c r="F2" s="47" t="s">
        <v>39</v>
      </c>
    </row>
    <row r="3" ht="25.5" customHeight="1">
      <c r="A3" s="48" t="s">
        <v>40</v>
      </c>
      <c r="B3" s="49">
        <v>85.0</v>
      </c>
      <c r="C3" s="50"/>
      <c r="D3" s="51"/>
      <c r="E3" s="25">
        <v>119000.0</v>
      </c>
      <c r="F3" s="17">
        <f>B3*E3</f>
        <v>10115000</v>
      </c>
    </row>
    <row r="4" ht="25.5" customHeight="1">
      <c r="A4" s="48" t="s">
        <v>41</v>
      </c>
      <c r="B4" s="51">
        <f>SUM(B5:B14)</f>
        <v>87.265</v>
      </c>
      <c r="C4" s="50"/>
      <c r="D4" s="51"/>
      <c r="E4" s="25">
        <f>F4/B4</f>
        <v>115911.3046</v>
      </c>
      <c r="F4" s="17">
        <f>F3</f>
        <v>10115000</v>
      </c>
    </row>
    <row r="5" ht="21.0" customHeight="1">
      <c r="A5" s="52" t="s">
        <v>42</v>
      </c>
      <c r="B5" s="53">
        <v>16.0</v>
      </c>
      <c r="C5" s="54">
        <v>1.1</v>
      </c>
      <c r="D5" s="53">
        <f>B5/C5</f>
        <v>14.54545455</v>
      </c>
      <c r="E5" s="53">
        <v>250000.0</v>
      </c>
      <c r="F5" s="41">
        <f>D5*E5</f>
        <v>3636363.636</v>
      </c>
    </row>
    <row r="6" ht="21.0" customHeight="1">
      <c r="A6" s="52" t="s">
        <v>31</v>
      </c>
      <c r="B6" s="53">
        <v>3.365</v>
      </c>
      <c r="C6" s="54"/>
      <c r="D6" s="53">
        <f>B6*C6</f>
        <v>0</v>
      </c>
      <c r="E6" s="55"/>
      <c r="F6" s="55"/>
    </row>
    <row r="7" ht="21.0" customHeight="1">
      <c r="A7" s="52" t="s">
        <v>30</v>
      </c>
      <c r="B7" s="53">
        <v>12.0</v>
      </c>
      <c r="C7" s="54">
        <v>0.07</v>
      </c>
      <c r="D7" s="53">
        <f>B7/C7</f>
        <v>171.4285714</v>
      </c>
      <c r="E7" s="55"/>
      <c r="F7" s="55"/>
    </row>
    <row r="8" ht="21.0" customHeight="1">
      <c r="A8" s="52" t="s">
        <v>43</v>
      </c>
      <c r="B8" s="53"/>
      <c r="C8" s="54"/>
      <c r="D8" s="53"/>
      <c r="E8" s="53"/>
      <c r="F8" s="55"/>
    </row>
    <row r="9" ht="21.0" customHeight="1">
      <c r="A9" s="52" t="s">
        <v>44</v>
      </c>
      <c r="B9" s="53">
        <v>12.0</v>
      </c>
      <c r="C9" s="54">
        <v>0.13</v>
      </c>
      <c r="D9" s="53">
        <f>B9/C9</f>
        <v>92.30769231</v>
      </c>
      <c r="E9" s="53">
        <v>40000.0</v>
      </c>
      <c r="F9" s="41">
        <f t="shared" ref="F9:F10" si="1">D9*E9</f>
        <v>3692307.692</v>
      </c>
    </row>
    <row r="10" ht="21.0" customHeight="1">
      <c r="A10" s="52" t="s">
        <v>45</v>
      </c>
      <c r="B10" s="53">
        <v>13.0</v>
      </c>
      <c r="C10" s="54">
        <v>1.3</v>
      </c>
      <c r="D10" s="53">
        <f>B10*C10</f>
        <v>16.9</v>
      </c>
      <c r="E10" s="53">
        <v>250000.0</v>
      </c>
      <c r="F10" s="41">
        <f t="shared" si="1"/>
        <v>4225000</v>
      </c>
    </row>
    <row r="11" ht="21.0" customHeight="1">
      <c r="A11" s="52" t="s">
        <v>14</v>
      </c>
      <c r="B11" s="53"/>
      <c r="C11" s="54"/>
      <c r="D11" s="53"/>
      <c r="E11" s="41"/>
      <c r="F11" s="41"/>
    </row>
    <row r="12" ht="21.0" customHeight="1">
      <c r="A12" s="52" t="s">
        <v>46</v>
      </c>
      <c r="B12" s="53">
        <v>13.4</v>
      </c>
      <c r="C12" s="54">
        <v>12.0</v>
      </c>
      <c r="D12" s="53">
        <f>B12*C12</f>
        <v>160.8</v>
      </c>
      <c r="E12" s="53">
        <v>30000.0</v>
      </c>
      <c r="F12" s="41">
        <f>D12*E12</f>
        <v>4824000</v>
      </c>
    </row>
    <row r="13" ht="21.0" customHeight="1">
      <c r="A13" s="52" t="s">
        <v>9</v>
      </c>
      <c r="B13" s="53"/>
      <c r="C13" s="54"/>
      <c r="D13" s="53"/>
      <c r="E13" s="53">
        <v>22000.0</v>
      </c>
      <c r="F13" s="41"/>
    </row>
    <row r="14" ht="21.0" customHeight="1">
      <c r="A14" s="52" t="s">
        <v>8</v>
      </c>
      <c r="B14" s="53">
        <v>17.5</v>
      </c>
      <c r="C14" s="54">
        <v>9.23</v>
      </c>
      <c r="D14" s="53">
        <f>B14*C14</f>
        <v>161.525</v>
      </c>
      <c r="E14" s="53">
        <v>22000.0</v>
      </c>
      <c r="F14" s="41">
        <f>D14*E14</f>
        <v>3553550</v>
      </c>
    </row>
    <row r="15" ht="21.0" customHeight="1">
      <c r="A15" s="56" t="s">
        <v>47</v>
      </c>
      <c r="B15" s="53">
        <v>2.4</v>
      </c>
      <c r="C15" s="57"/>
      <c r="D15" s="41"/>
      <c r="E15" s="55"/>
      <c r="F15" s="55"/>
    </row>
    <row r="16" ht="21.0" customHeight="1">
      <c r="A16" s="56" t="s">
        <v>6</v>
      </c>
      <c r="B16" s="53">
        <v>7.16</v>
      </c>
      <c r="C16" s="58"/>
      <c r="D16" s="55"/>
      <c r="E16" s="55"/>
      <c r="F16" s="55"/>
    </row>
    <row r="17" ht="21.0" customHeight="1">
      <c r="A17" s="56" t="s">
        <v>48</v>
      </c>
      <c r="B17" s="55"/>
      <c r="C17" s="58"/>
      <c r="D17" s="55"/>
      <c r="E17" s="41"/>
      <c r="F17" s="41"/>
    </row>
    <row r="18" ht="21.0" customHeight="1">
      <c r="A18" s="56" t="s">
        <v>49</v>
      </c>
      <c r="B18" s="41"/>
      <c r="C18" s="57"/>
      <c r="D18" s="41"/>
      <c r="E18" s="55"/>
      <c r="F18" s="55"/>
    </row>
    <row r="19" ht="21.0" customHeight="1">
      <c r="A19" s="56" t="s">
        <v>50</v>
      </c>
      <c r="B19" s="41"/>
      <c r="C19" s="57"/>
      <c r="D19" s="41"/>
      <c r="E19" s="59"/>
      <c r="F19" s="59"/>
    </row>
    <row r="20" ht="21.0" customHeight="1">
      <c r="A20" s="60" t="s">
        <v>51</v>
      </c>
      <c r="B20" s="51">
        <f>SUM(B5:B19)</f>
        <v>96.825</v>
      </c>
      <c r="C20" s="50"/>
      <c r="D20" s="51"/>
      <c r="E20" s="61"/>
      <c r="F20" s="62">
        <f>SUM(F5:F19)</f>
        <v>19931221.33</v>
      </c>
    </row>
    <row r="21" ht="27.0" customHeight="1">
      <c r="A21" s="63" t="s">
        <v>52</v>
      </c>
      <c r="B21" s="6"/>
      <c r="C21" s="7"/>
      <c r="D21" s="64">
        <v>46151.0</v>
      </c>
      <c r="E21" s="6"/>
      <c r="F21" s="7"/>
    </row>
    <row r="22" ht="27.0" customHeight="1">
      <c r="A22" s="65"/>
      <c r="B22" s="66" t="s">
        <v>35</v>
      </c>
      <c r="C22" s="66" t="s">
        <v>36</v>
      </c>
      <c r="D22" s="66" t="s">
        <v>37</v>
      </c>
      <c r="E22" s="65" t="s">
        <v>38</v>
      </c>
      <c r="F22" s="66" t="s">
        <v>39</v>
      </c>
    </row>
    <row r="23" ht="25.5" customHeight="1">
      <c r="A23" s="67" t="s">
        <v>53</v>
      </c>
      <c r="B23" s="49">
        <v>50.3</v>
      </c>
      <c r="C23" s="50"/>
      <c r="D23" s="51"/>
      <c r="E23" s="25">
        <v>140000.0</v>
      </c>
      <c r="F23" s="17">
        <f>B23*E23</f>
        <v>7042000</v>
      </c>
    </row>
    <row r="24" ht="25.5" customHeight="1">
      <c r="A24" s="67" t="s">
        <v>41</v>
      </c>
      <c r="B24" s="51">
        <f>SUM(B25:B33)</f>
        <v>43.4</v>
      </c>
      <c r="C24" s="50"/>
      <c r="D24" s="51"/>
      <c r="E24" s="25">
        <f>F24/B24</f>
        <v>162258.0645</v>
      </c>
      <c r="F24" s="17">
        <f>F23</f>
        <v>7042000</v>
      </c>
    </row>
    <row r="25" ht="21.0" customHeight="1">
      <c r="A25" s="52" t="s">
        <v>54</v>
      </c>
      <c r="B25" s="53">
        <v>21.6</v>
      </c>
      <c r="C25" s="54">
        <v>1.3</v>
      </c>
      <c r="D25" s="53">
        <f>B25*C25</f>
        <v>28.08</v>
      </c>
      <c r="E25" s="53">
        <v>260000.0</v>
      </c>
      <c r="F25" s="41">
        <f t="shared" ref="F25:F27" si="2">D25*E25</f>
        <v>7300800</v>
      </c>
    </row>
    <row r="26" ht="21.0" customHeight="1">
      <c r="A26" s="52" t="s">
        <v>30</v>
      </c>
      <c r="B26" s="53"/>
      <c r="C26" s="54">
        <v>0.07</v>
      </c>
      <c r="D26" s="53">
        <f t="shared" ref="D26:D27" si="3">B26/C26</f>
        <v>0</v>
      </c>
      <c r="E26" s="53">
        <v>30000.0</v>
      </c>
      <c r="F26" s="41">
        <f t="shared" si="2"/>
        <v>0</v>
      </c>
    </row>
    <row r="27" ht="21.0" customHeight="1">
      <c r="A27" s="52" t="s">
        <v>43</v>
      </c>
      <c r="B27" s="53">
        <v>21.8</v>
      </c>
      <c r="C27" s="54">
        <v>1.1</v>
      </c>
      <c r="D27" s="53">
        <f t="shared" si="3"/>
        <v>19.81818182</v>
      </c>
      <c r="E27" s="53">
        <v>250000.0</v>
      </c>
      <c r="F27" s="41">
        <f t="shared" si="2"/>
        <v>4954545.455</v>
      </c>
    </row>
    <row r="28" ht="21.0" customHeight="1">
      <c r="A28" s="52" t="s">
        <v>55</v>
      </c>
      <c r="B28" s="53"/>
      <c r="C28" s="54"/>
      <c r="D28" s="53"/>
      <c r="E28" s="53"/>
      <c r="F28" s="41"/>
    </row>
    <row r="29" ht="21.0" customHeight="1">
      <c r="A29" s="52" t="s">
        <v>32</v>
      </c>
      <c r="B29" s="53"/>
      <c r="C29" s="54"/>
      <c r="D29" s="53"/>
      <c r="E29" s="53"/>
      <c r="F29" s="41"/>
    </row>
    <row r="30" ht="21.0" customHeight="1">
      <c r="A30" s="52" t="s">
        <v>24</v>
      </c>
      <c r="B30" s="53"/>
      <c r="C30" s="54"/>
      <c r="D30" s="53"/>
      <c r="E30" s="41"/>
      <c r="F30" s="41"/>
    </row>
    <row r="31" ht="21.0" customHeight="1">
      <c r="A31" s="52" t="s">
        <v>46</v>
      </c>
      <c r="B31" s="53"/>
      <c r="C31" s="54"/>
      <c r="D31" s="53"/>
      <c r="E31" s="53"/>
      <c r="F31" s="41"/>
    </row>
    <row r="32" ht="21.0" customHeight="1">
      <c r="A32" s="52" t="s">
        <v>13</v>
      </c>
      <c r="B32" s="53"/>
      <c r="C32" s="54"/>
      <c r="D32" s="53"/>
      <c r="E32" s="41"/>
      <c r="F32" s="41"/>
    </row>
    <row r="33" ht="21.0" customHeight="1">
      <c r="A33" s="52" t="s">
        <v>56</v>
      </c>
      <c r="B33" s="53"/>
      <c r="C33" s="54"/>
      <c r="D33" s="53"/>
      <c r="E33" s="53"/>
      <c r="F33" s="41"/>
    </row>
    <row r="34" ht="21.0" customHeight="1">
      <c r="A34" s="52" t="s">
        <v>57</v>
      </c>
      <c r="B34" s="53"/>
      <c r="C34" s="57"/>
      <c r="D34" s="41"/>
      <c r="E34" s="55"/>
      <c r="F34" s="55"/>
    </row>
    <row r="35" ht="21.0" customHeight="1">
      <c r="A35" s="52" t="s">
        <v>8</v>
      </c>
      <c r="B35" s="53">
        <v>2.433</v>
      </c>
      <c r="C35" s="54">
        <v>9.23</v>
      </c>
      <c r="D35" s="53">
        <f>B35*C35</f>
        <v>22.45659</v>
      </c>
      <c r="E35" s="53">
        <v>22000.0</v>
      </c>
      <c r="F35" s="41">
        <f>D35*E35</f>
        <v>494044.98</v>
      </c>
    </row>
    <row r="36" ht="21.0" customHeight="1">
      <c r="A36" s="56" t="s">
        <v>47</v>
      </c>
      <c r="B36" s="53">
        <v>2.5</v>
      </c>
      <c r="C36" s="58"/>
      <c r="D36" s="55"/>
      <c r="E36" s="41"/>
      <c r="F36" s="41"/>
    </row>
    <row r="37" ht="21.0" customHeight="1">
      <c r="A37" s="56" t="s">
        <v>48</v>
      </c>
      <c r="B37" s="41"/>
      <c r="C37" s="57"/>
      <c r="D37" s="41"/>
      <c r="E37" s="55"/>
      <c r="F37" s="55"/>
    </row>
    <row r="38" ht="21.0" customHeight="1">
      <c r="A38" s="56" t="s">
        <v>50</v>
      </c>
      <c r="B38" s="53">
        <v>1.5</v>
      </c>
      <c r="C38" s="57"/>
      <c r="D38" s="41"/>
      <c r="E38" s="59"/>
      <c r="F38" s="59"/>
    </row>
    <row r="39" ht="21.0" customHeight="1">
      <c r="A39" s="60" t="s">
        <v>51</v>
      </c>
      <c r="B39" s="51">
        <f>SUM(B25:B38)</f>
        <v>49.833</v>
      </c>
      <c r="C39" s="50"/>
      <c r="D39" s="51"/>
      <c r="E39" s="61"/>
      <c r="F39" s="62">
        <f>SUM(F25:F38)-F23</f>
        <v>5707390.435</v>
      </c>
    </row>
    <row r="40">
      <c r="D40" s="68"/>
    </row>
    <row r="41">
      <c r="D41" s="68"/>
    </row>
    <row r="42">
      <c r="D42" s="68"/>
    </row>
    <row r="43">
      <c r="D43" s="68"/>
    </row>
    <row r="44">
      <c r="D44" s="68"/>
    </row>
    <row r="45">
      <c r="D45" s="68"/>
    </row>
    <row r="46">
      <c r="D46" s="68"/>
    </row>
    <row r="47">
      <c r="D47" s="68"/>
    </row>
    <row r="48">
      <c r="D48" s="68"/>
    </row>
    <row r="49">
      <c r="D49" s="68"/>
    </row>
    <row r="50">
      <c r="D50" s="68"/>
    </row>
    <row r="51">
      <c r="D51" s="68"/>
    </row>
    <row r="52">
      <c r="D52" s="68"/>
    </row>
    <row r="53">
      <c r="D53" s="68"/>
    </row>
    <row r="54">
      <c r="D54" s="68"/>
    </row>
    <row r="55">
      <c r="D55" s="68"/>
    </row>
    <row r="56">
      <c r="D56" s="68"/>
    </row>
    <row r="57">
      <c r="D57" s="68"/>
    </row>
    <row r="58">
      <c r="D58" s="68"/>
    </row>
    <row r="59">
      <c r="D59" s="68"/>
    </row>
    <row r="60">
      <c r="D60" s="68"/>
    </row>
    <row r="61">
      <c r="D61" s="68"/>
    </row>
    <row r="62">
      <c r="D62" s="68"/>
    </row>
    <row r="63">
      <c r="D63" s="68"/>
    </row>
    <row r="64">
      <c r="D64" s="68"/>
    </row>
    <row r="65">
      <c r="D65" s="68"/>
    </row>
    <row r="66">
      <c r="D66" s="68"/>
    </row>
    <row r="67">
      <c r="D67" s="68"/>
    </row>
    <row r="68">
      <c r="D68" s="68"/>
    </row>
    <row r="69">
      <c r="D69" s="68"/>
    </row>
    <row r="70">
      <c r="D70" s="68"/>
    </row>
    <row r="71">
      <c r="D71" s="68"/>
    </row>
    <row r="72">
      <c r="D72" s="68"/>
    </row>
    <row r="73">
      <c r="D73" s="68"/>
    </row>
    <row r="74">
      <c r="D74" s="68"/>
    </row>
    <row r="75">
      <c r="D75" s="68"/>
    </row>
    <row r="76">
      <c r="D76" s="68"/>
    </row>
    <row r="77">
      <c r="D77" s="68"/>
    </row>
    <row r="78">
      <c r="D78" s="68"/>
    </row>
    <row r="79">
      <c r="D79" s="68"/>
    </row>
    <row r="80">
      <c r="D80" s="68"/>
    </row>
    <row r="81">
      <c r="D81" s="68"/>
    </row>
    <row r="82">
      <c r="D82" s="68"/>
    </row>
    <row r="83">
      <c r="D83" s="68"/>
    </row>
    <row r="84">
      <c r="D84" s="68"/>
    </row>
    <row r="85">
      <c r="D85" s="68"/>
    </row>
    <row r="86">
      <c r="D86" s="68"/>
    </row>
    <row r="87">
      <c r="D87" s="68"/>
    </row>
    <row r="88">
      <c r="D88" s="68"/>
    </row>
    <row r="89">
      <c r="D89" s="68"/>
    </row>
    <row r="90">
      <c r="D90" s="68"/>
    </row>
    <row r="91">
      <c r="D91" s="68"/>
    </row>
    <row r="92">
      <c r="D92" s="68"/>
    </row>
    <row r="93">
      <c r="D93" s="68"/>
    </row>
    <row r="94">
      <c r="D94" s="68"/>
    </row>
    <row r="95">
      <c r="D95" s="68"/>
    </row>
    <row r="96">
      <c r="D96" s="68"/>
    </row>
    <row r="97">
      <c r="D97" s="68"/>
    </row>
    <row r="98">
      <c r="D98" s="68"/>
    </row>
    <row r="99">
      <c r="D99" s="68"/>
    </row>
    <row r="100">
      <c r="D100" s="68"/>
    </row>
    <row r="101">
      <c r="D101" s="68"/>
    </row>
    <row r="102">
      <c r="D102" s="68"/>
    </row>
    <row r="103">
      <c r="D103" s="68"/>
    </row>
    <row r="104">
      <c r="D104" s="68"/>
    </row>
    <row r="105">
      <c r="D105" s="68"/>
    </row>
    <row r="106">
      <c r="D106" s="68"/>
    </row>
    <row r="107">
      <c r="D107" s="68"/>
    </row>
    <row r="108">
      <c r="D108" s="68"/>
    </row>
    <row r="109">
      <c r="D109" s="68"/>
    </row>
    <row r="110">
      <c r="D110" s="68"/>
    </row>
    <row r="111">
      <c r="D111" s="68"/>
    </row>
    <row r="112">
      <c r="D112" s="68"/>
    </row>
    <row r="113">
      <c r="D113" s="68"/>
    </row>
    <row r="114">
      <c r="D114" s="68"/>
    </row>
    <row r="115">
      <c r="D115" s="68"/>
    </row>
    <row r="116">
      <c r="D116" s="68"/>
    </row>
    <row r="117">
      <c r="D117" s="68"/>
    </row>
    <row r="118">
      <c r="D118" s="68"/>
    </row>
    <row r="119">
      <c r="D119" s="68"/>
    </row>
    <row r="120">
      <c r="D120" s="68"/>
    </row>
    <row r="121">
      <c r="D121" s="68"/>
    </row>
    <row r="122">
      <c r="D122" s="68"/>
    </row>
    <row r="123">
      <c r="D123" s="68"/>
    </row>
    <row r="124">
      <c r="D124" s="68"/>
    </row>
    <row r="125">
      <c r="D125" s="68"/>
    </row>
    <row r="126">
      <c r="D126" s="68"/>
    </row>
    <row r="127">
      <c r="D127" s="68"/>
    </row>
    <row r="128">
      <c r="D128" s="68"/>
    </row>
    <row r="129">
      <c r="D129" s="68"/>
    </row>
    <row r="130">
      <c r="D130" s="68"/>
    </row>
    <row r="131">
      <c r="D131" s="68"/>
    </row>
    <row r="132">
      <c r="D132" s="68"/>
    </row>
    <row r="133">
      <c r="D133" s="68"/>
    </row>
    <row r="134">
      <c r="D134" s="68"/>
    </row>
    <row r="135">
      <c r="D135" s="68"/>
    </row>
    <row r="136">
      <c r="D136" s="68"/>
    </row>
    <row r="137">
      <c r="D137" s="68"/>
    </row>
    <row r="138">
      <c r="D138" s="68"/>
    </row>
    <row r="139">
      <c r="D139" s="68"/>
    </row>
    <row r="140">
      <c r="D140" s="68"/>
    </row>
    <row r="141">
      <c r="D141" s="68"/>
    </row>
    <row r="142">
      <c r="D142" s="68"/>
    </row>
    <row r="143">
      <c r="D143" s="68"/>
    </row>
    <row r="144">
      <c r="D144" s="68"/>
    </row>
    <row r="145">
      <c r="D145" s="68"/>
    </row>
    <row r="146">
      <c r="D146" s="68"/>
    </row>
    <row r="147">
      <c r="D147" s="68"/>
    </row>
    <row r="148">
      <c r="D148" s="68"/>
    </row>
    <row r="149">
      <c r="D149" s="68"/>
    </row>
    <row r="150">
      <c r="D150" s="68"/>
    </row>
    <row r="151">
      <c r="D151" s="68"/>
    </row>
    <row r="152">
      <c r="D152" s="68"/>
    </row>
    <row r="153">
      <c r="D153" s="68"/>
    </row>
    <row r="154">
      <c r="D154" s="68"/>
    </row>
    <row r="155">
      <c r="D155" s="68"/>
    </row>
    <row r="156">
      <c r="D156" s="68"/>
    </row>
    <row r="157">
      <c r="D157" s="68"/>
    </row>
    <row r="158">
      <c r="D158" s="68"/>
    </row>
    <row r="159">
      <c r="D159" s="68"/>
    </row>
    <row r="160">
      <c r="D160" s="68"/>
    </row>
    <row r="161">
      <c r="D161" s="68"/>
    </row>
    <row r="162">
      <c r="D162" s="68"/>
    </row>
    <row r="163">
      <c r="D163" s="68"/>
    </row>
    <row r="164">
      <c r="D164" s="68"/>
    </row>
    <row r="165">
      <c r="D165" s="68"/>
    </row>
    <row r="166">
      <c r="D166" s="68"/>
    </row>
    <row r="167">
      <c r="D167" s="68"/>
    </row>
    <row r="168">
      <c r="D168" s="68"/>
    </row>
    <row r="169">
      <c r="D169" s="68"/>
    </row>
    <row r="170">
      <c r="D170" s="68"/>
    </row>
    <row r="171">
      <c r="D171" s="68"/>
    </row>
    <row r="172">
      <c r="D172" s="68"/>
    </row>
    <row r="173">
      <c r="D173" s="68"/>
    </row>
    <row r="174">
      <c r="D174" s="68"/>
    </row>
    <row r="175">
      <c r="D175" s="68"/>
    </row>
    <row r="176">
      <c r="D176" s="68"/>
    </row>
    <row r="177">
      <c r="D177" s="68"/>
    </row>
    <row r="178">
      <c r="D178" s="68"/>
    </row>
    <row r="179">
      <c r="D179" s="68"/>
    </row>
    <row r="180">
      <c r="D180" s="68"/>
    </row>
    <row r="181">
      <c r="D181" s="68"/>
    </row>
    <row r="182">
      <c r="D182" s="68"/>
    </row>
    <row r="183">
      <c r="D183" s="68"/>
    </row>
    <row r="184">
      <c r="D184" s="68"/>
    </row>
    <row r="185">
      <c r="D185" s="68"/>
    </row>
    <row r="186">
      <c r="D186" s="68"/>
    </row>
    <row r="187">
      <c r="D187" s="68"/>
    </row>
    <row r="188">
      <c r="D188" s="68"/>
    </row>
    <row r="189">
      <c r="D189" s="68"/>
    </row>
    <row r="190">
      <c r="D190" s="68"/>
    </row>
    <row r="191">
      <c r="D191" s="68"/>
    </row>
    <row r="192">
      <c r="D192" s="68"/>
    </row>
    <row r="193">
      <c r="D193" s="68"/>
    </row>
    <row r="194">
      <c r="D194" s="68"/>
    </row>
    <row r="195">
      <c r="D195" s="68"/>
    </row>
    <row r="196">
      <c r="D196" s="68"/>
    </row>
    <row r="197">
      <c r="D197" s="68"/>
    </row>
    <row r="198">
      <c r="D198" s="68"/>
    </row>
    <row r="199">
      <c r="D199" s="68"/>
    </row>
    <row r="200">
      <c r="D200" s="68"/>
    </row>
    <row r="201">
      <c r="D201" s="68"/>
    </row>
    <row r="202">
      <c r="D202" s="68"/>
    </row>
    <row r="203">
      <c r="D203" s="68"/>
    </row>
    <row r="204">
      <c r="D204" s="68"/>
    </row>
    <row r="205">
      <c r="D205" s="68"/>
    </row>
    <row r="206">
      <c r="D206" s="68"/>
    </row>
    <row r="207">
      <c r="D207" s="68"/>
    </row>
    <row r="208">
      <c r="D208" s="68"/>
    </row>
    <row r="209">
      <c r="D209" s="68"/>
    </row>
    <row r="210">
      <c r="D210" s="68"/>
    </row>
    <row r="211">
      <c r="D211" s="68"/>
    </row>
    <row r="212">
      <c r="D212" s="68"/>
    </row>
    <row r="213">
      <c r="D213" s="68"/>
    </row>
    <row r="214">
      <c r="D214" s="68"/>
    </row>
    <row r="215">
      <c r="D215" s="68"/>
    </row>
    <row r="216">
      <c r="D216" s="68"/>
    </row>
    <row r="217">
      <c r="D217" s="68"/>
    </row>
    <row r="218">
      <c r="D218" s="68"/>
    </row>
    <row r="219">
      <c r="D219" s="68"/>
    </row>
    <row r="220">
      <c r="D220" s="68"/>
    </row>
    <row r="221">
      <c r="D221" s="68"/>
    </row>
    <row r="222">
      <c r="D222" s="68"/>
    </row>
    <row r="223">
      <c r="D223" s="68"/>
    </row>
    <row r="224">
      <c r="D224" s="68"/>
    </row>
    <row r="225">
      <c r="D225" s="68"/>
    </row>
    <row r="226">
      <c r="D226" s="68"/>
    </row>
    <row r="227">
      <c r="D227" s="68"/>
    </row>
    <row r="228">
      <c r="D228" s="68"/>
    </row>
    <row r="229">
      <c r="D229" s="68"/>
    </row>
    <row r="230">
      <c r="D230" s="68"/>
    </row>
    <row r="231">
      <c r="D231" s="68"/>
    </row>
    <row r="232">
      <c r="D232" s="68"/>
    </row>
    <row r="233">
      <c r="D233" s="68"/>
    </row>
    <row r="234">
      <c r="D234" s="68"/>
    </row>
    <row r="235">
      <c r="D235" s="68"/>
    </row>
    <row r="236">
      <c r="D236" s="68"/>
    </row>
    <row r="237">
      <c r="D237" s="68"/>
    </row>
    <row r="238">
      <c r="D238" s="68"/>
    </row>
    <row r="239">
      <c r="D239" s="68"/>
    </row>
    <row r="240">
      <c r="D240" s="68"/>
    </row>
    <row r="241">
      <c r="D241" s="68"/>
    </row>
    <row r="242">
      <c r="D242" s="68"/>
    </row>
    <row r="243">
      <c r="D243" s="68"/>
    </row>
    <row r="244">
      <c r="D244" s="68"/>
    </row>
    <row r="245">
      <c r="D245" s="68"/>
    </row>
    <row r="246">
      <c r="D246" s="68"/>
    </row>
    <row r="247">
      <c r="D247" s="68"/>
    </row>
    <row r="248">
      <c r="D248" s="68"/>
    </row>
    <row r="249">
      <c r="D249" s="68"/>
    </row>
    <row r="250">
      <c r="D250" s="68"/>
    </row>
    <row r="251">
      <c r="D251" s="68"/>
    </row>
    <row r="252">
      <c r="D252" s="68"/>
    </row>
    <row r="253">
      <c r="D253" s="68"/>
    </row>
    <row r="254">
      <c r="D254" s="68"/>
    </row>
    <row r="255">
      <c r="D255" s="68"/>
    </row>
    <row r="256">
      <c r="D256" s="68"/>
    </row>
    <row r="257">
      <c r="D257" s="68"/>
    </row>
    <row r="258">
      <c r="D258" s="68"/>
    </row>
    <row r="259">
      <c r="D259" s="68"/>
    </row>
    <row r="260">
      <c r="D260" s="68"/>
    </row>
    <row r="261">
      <c r="D261" s="68"/>
    </row>
    <row r="262">
      <c r="D262" s="68"/>
    </row>
    <row r="263">
      <c r="D263" s="68"/>
    </row>
    <row r="264">
      <c r="D264" s="68"/>
    </row>
    <row r="265">
      <c r="D265" s="68"/>
    </row>
    <row r="266">
      <c r="D266" s="68"/>
    </row>
    <row r="267">
      <c r="D267" s="68"/>
    </row>
    <row r="268">
      <c r="D268" s="68"/>
    </row>
    <row r="269">
      <c r="D269" s="68"/>
    </row>
    <row r="270">
      <c r="D270" s="68"/>
    </row>
    <row r="271">
      <c r="D271" s="68"/>
    </row>
    <row r="272">
      <c r="D272" s="68"/>
    </row>
    <row r="273">
      <c r="D273" s="68"/>
    </row>
    <row r="274">
      <c r="D274" s="68"/>
    </row>
    <row r="275">
      <c r="D275" s="68"/>
    </row>
    <row r="276">
      <c r="D276" s="68"/>
    </row>
    <row r="277">
      <c r="D277" s="68"/>
    </row>
    <row r="278">
      <c r="D278" s="68"/>
    </row>
    <row r="279">
      <c r="D279" s="68"/>
    </row>
    <row r="280">
      <c r="D280" s="68"/>
    </row>
    <row r="281">
      <c r="D281" s="68"/>
    </row>
    <row r="282">
      <c r="D282" s="68"/>
    </row>
    <row r="283">
      <c r="D283" s="68"/>
    </row>
    <row r="284">
      <c r="D284" s="68"/>
    </row>
    <row r="285">
      <c r="D285" s="68"/>
    </row>
    <row r="286">
      <c r="D286" s="68"/>
    </row>
    <row r="287">
      <c r="D287" s="68"/>
    </row>
    <row r="288">
      <c r="D288" s="68"/>
    </row>
    <row r="289">
      <c r="D289" s="68"/>
    </row>
    <row r="290">
      <c r="D290" s="68"/>
    </row>
    <row r="291">
      <c r="D291" s="68"/>
    </row>
    <row r="292">
      <c r="D292" s="68"/>
    </row>
    <row r="293">
      <c r="D293" s="68"/>
    </row>
    <row r="294">
      <c r="D294" s="68"/>
    </row>
    <row r="295">
      <c r="D295" s="68"/>
    </row>
    <row r="296">
      <c r="D296" s="68"/>
    </row>
    <row r="297">
      <c r="D297" s="68"/>
    </row>
    <row r="298">
      <c r="D298" s="68"/>
    </row>
    <row r="299">
      <c r="D299" s="68"/>
    </row>
    <row r="300">
      <c r="D300" s="68"/>
    </row>
    <row r="301">
      <c r="D301" s="68"/>
    </row>
    <row r="302">
      <c r="D302" s="68"/>
    </row>
    <row r="303">
      <c r="D303" s="68"/>
    </row>
    <row r="304">
      <c r="D304" s="68"/>
    </row>
    <row r="305">
      <c r="D305" s="68"/>
    </row>
    <row r="306">
      <c r="D306" s="68"/>
    </row>
    <row r="307">
      <c r="D307" s="68"/>
    </row>
    <row r="308">
      <c r="D308" s="68"/>
    </row>
    <row r="309">
      <c r="D309" s="68"/>
    </row>
    <row r="310">
      <c r="D310" s="68"/>
    </row>
    <row r="311">
      <c r="D311" s="68"/>
    </row>
    <row r="312">
      <c r="D312" s="68"/>
    </row>
    <row r="313">
      <c r="D313" s="68"/>
    </row>
    <row r="314">
      <c r="D314" s="68"/>
    </row>
    <row r="315">
      <c r="D315" s="68"/>
    </row>
    <row r="316">
      <c r="D316" s="68"/>
    </row>
    <row r="317">
      <c r="D317" s="68"/>
    </row>
    <row r="318">
      <c r="D318" s="68"/>
    </row>
    <row r="319">
      <c r="D319" s="68"/>
    </row>
    <row r="320">
      <c r="D320" s="68"/>
    </row>
    <row r="321">
      <c r="D321" s="68"/>
    </row>
    <row r="322">
      <c r="D322" s="68"/>
    </row>
    <row r="323">
      <c r="D323" s="68"/>
    </row>
    <row r="324">
      <c r="D324" s="68"/>
    </row>
    <row r="325">
      <c r="D325" s="68"/>
    </row>
    <row r="326">
      <c r="D326" s="68"/>
    </row>
    <row r="327">
      <c r="D327" s="68"/>
    </row>
    <row r="328">
      <c r="D328" s="68"/>
    </row>
    <row r="329">
      <c r="D329" s="68"/>
    </row>
    <row r="330">
      <c r="D330" s="68"/>
    </row>
    <row r="331">
      <c r="D331" s="68"/>
    </row>
    <row r="332">
      <c r="D332" s="68"/>
    </row>
    <row r="333">
      <c r="D333" s="68"/>
    </row>
    <row r="334">
      <c r="D334" s="68"/>
    </row>
    <row r="335">
      <c r="D335" s="68"/>
    </row>
    <row r="336">
      <c r="D336" s="68"/>
    </row>
    <row r="337">
      <c r="D337" s="68"/>
    </row>
    <row r="338">
      <c r="D338" s="68"/>
    </row>
    <row r="339">
      <c r="D339" s="68"/>
    </row>
    <row r="340">
      <c r="D340" s="68"/>
    </row>
    <row r="341">
      <c r="D341" s="68"/>
    </row>
    <row r="342">
      <c r="D342" s="68"/>
    </row>
    <row r="343">
      <c r="D343" s="68"/>
    </row>
    <row r="344">
      <c r="D344" s="68"/>
    </row>
    <row r="345">
      <c r="D345" s="68"/>
    </row>
    <row r="346">
      <c r="D346" s="68"/>
    </row>
    <row r="347">
      <c r="D347" s="68"/>
    </row>
    <row r="348">
      <c r="D348" s="68"/>
    </row>
    <row r="349">
      <c r="D349" s="68"/>
    </row>
    <row r="350">
      <c r="D350" s="68"/>
    </row>
    <row r="351">
      <c r="D351" s="68"/>
    </row>
    <row r="352">
      <c r="D352" s="68"/>
    </row>
    <row r="353">
      <c r="D353" s="68"/>
    </row>
    <row r="354">
      <c r="D354" s="68"/>
    </row>
    <row r="355">
      <c r="D355" s="68"/>
    </row>
    <row r="356">
      <c r="D356" s="68"/>
    </row>
    <row r="357">
      <c r="D357" s="68"/>
    </row>
    <row r="358">
      <c r="D358" s="68"/>
    </row>
    <row r="359">
      <c r="D359" s="68"/>
    </row>
    <row r="360">
      <c r="D360" s="68"/>
    </row>
    <row r="361">
      <c r="D361" s="68"/>
    </row>
    <row r="362">
      <c r="D362" s="68"/>
    </row>
    <row r="363">
      <c r="D363" s="68"/>
    </row>
    <row r="364">
      <c r="D364" s="68"/>
    </row>
    <row r="365">
      <c r="D365" s="68"/>
    </row>
    <row r="366">
      <c r="D366" s="68"/>
    </row>
    <row r="367">
      <c r="D367" s="68"/>
    </row>
    <row r="368">
      <c r="D368" s="68"/>
    </row>
    <row r="369">
      <c r="D369" s="68"/>
    </row>
    <row r="370">
      <c r="D370" s="68"/>
    </row>
    <row r="371">
      <c r="D371" s="68"/>
    </row>
    <row r="372">
      <c r="D372" s="68"/>
    </row>
    <row r="373">
      <c r="D373" s="68"/>
    </row>
    <row r="374">
      <c r="D374" s="68"/>
    </row>
    <row r="375">
      <c r="D375" s="68"/>
    </row>
    <row r="376">
      <c r="D376" s="68"/>
    </row>
    <row r="377">
      <c r="D377" s="68"/>
    </row>
    <row r="378">
      <c r="D378" s="68"/>
    </row>
    <row r="379">
      <c r="D379" s="68"/>
    </row>
    <row r="380">
      <c r="D380" s="68"/>
    </row>
    <row r="381">
      <c r="D381" s="68"/>
    </row>
    <row r="382">
      <c r="D382" s="68"/>
    </row>
    <row r="383">
      <c r="D383" s="68"/>
    </row>
    <row r="384">
      <c r="D384" s="68"/>
    </row>
    <row r="385">
      <c r="D385" s="68"/>
    </row>
    <row r="386">
      <c r="D386" s="68"/>
    </row>
    <row r="387">
      <c r="D387" s="68"/>
    </row>
    <row r="388">
      <c r="D388" s="68"/>
    </row>
    <row r="389">
      <c r="D389" s="68"/>
    </row>
    <row r="390">
      <c r="D390" s="68"/>
    </row>
    <row r="391">
      <c r="D391" s="68"/>
    </row>
    <row r="392">
      <c r="D392" s="68"/>
    </row>
    <row r="393">
      <c r="D393" s="68"/>
    </row>
    <row r="394">
      <c r="D394" s="68"/>
    </row>
    <row r="395">
      <c r="D395" s="68"/>
    </row>
    <row r="396">
      <c r="D396" s="68"/>
    </row>
    <row r="397">
      <c r="D397" s="68"/>
    </row>
    <row r="398">
      <c r="D398" s="68"/>
    </row>
    <row r="399">
      <c r="D399" s="68"/>
    </row>
    <row r="400">
      <c r="D400" s="68"/>
    </row>
    <row r="401">
      <c r="D401" s="68"/>
    </row>
    <row r="402">
      <c r="D402" s="68"/>
    </row>
    <row r="403">
      <c r="D403" s="68"/>
    </row>
    <row r="404">
      <c r="D404" s="68"/>
    </row>
    <row r="405">
      <c r="D405" s="68"/>
    </row>
    <row r="406">
      <c r="D406" s="68"/>
    </row>
    <row r="407">
      <c r="D407" s="68"/>
    </row>
    <row r="408">
      <c r="D408" s="68"/>
    </row>
    <row r="409">
      <c r="D409" s="68"/>
    </row>
    <row r="410">
      <c r="D410" s="68"/>
    </row>
    <row r="411">
      <c r="D411" s="68"/>
    </row>
    <row r="412">
      <c r="D412" s="68"/>
    </row>
    <row r="413">
      <c r="D413" s="68"/>
    </row>
    <row r="414">
      <c r="D414" s="68"/>
    </row>
    <row r="415">
      <c r="D415" s="68"/>
    </row>
    <row r="416">
      <c r="D416" s="68"/>
    </row>
    <row r="417">
      <c r="D417" s="68"/>
    </row>
    <row r="418">
      <c r="D418" s="68"/>
    </row>
    <row r="419">
      <c r="D419" s="68"/>
    </row>
    <row r="420">
      <c r="D420" s="68"/>
    </row>
    <row r="421">
      <c r="D421" s="68"/>
    </row>
    <row r="422">
      <c r="D422" s="68"/>
    </row>
    <row r="423">
      <c r="D423" s="68"/>
    </row>
    <row r="424">
      <c r="D424" s="68"/>
    </row>
    <row r="425">
      <c r="D425" s="68"/>
    </row>
    <row r="426">
      <c r="D426" s="68"/>
    </row>
    <row r="427">
      <c r="D427" s="68"/>
    </row>
    <row r="428">
      <c r="D428" s="68"/>
    </row>
    <row r="429">
      <c r="D429" s="68"/>
    </row>
    <row r="430">
      <c r="D430" s="68"/>
    </row>
    <row r="431">
      <c r="D431" s="68"/>
    </row>
    <row r="432">
      <c r="D432" s="68"/>
    </row>
    <row r="433">
      <c r="D433" s="68"/>
    </row>
    <row r="434">
      <c r="D434" s="68"/>
    </row>
    <row r="435">
      <c r="D435" s="68"/>
    </row>
    <row r="436">
      <c r="D436" s="68"/>
    </row>
    <row r="437">
      <c r="D437" s="68"/>
    </row>
    <row r="438">
      <c r="D438" s="68"/>
    </row>
    <row r="439">
      <c r="D439" s="68"/>
    </row>
    <row r="440">
      <c r="D440" s="68"/>
    </row>
    <row r="441">
      <c r="D441" s="68"/>
    </row>
    <row r="442">
      <c r="D442" s="68"/>
    </row>
    <row r="443">
      <c r="D443" s="68"/>
    </row>
    <row r="444">
      <c r="D444" s="68"/>
    </row>
    <row r="445">
      <c r="D445" s="68"/>
    </row>
    <row r="446">
      <c r="D446" s="68"/>
    </row>
    <row r="447">
      <c r="D447" s="68"/>
    </row>
    <row r="448">
      <c r="D448" s="68"/>
    </row>
    <row r="449">
      <c r="D449" s="68"/>
    </row>
    <row r="450">
      <c r="D450" s="68"/>
    </row>
    <row r="451">
      <c r="D451" s="68"/>
    </row>
    <row r="452">
      <c r="D452" s="68"/>
    </row>
    <row r="453">
      <c r="D453" s="68"/>
    </row>
    <row r="454">
      <c r="D454" s="68"/>
    </row>
    <row r="455">
      <c r="D455" s="68"/>
    </row>
    <row r="456">
      <c r="D456" s="68"/>
    </row>
    <row r="457">
      <c r="D457" s="68"/>
    </row>
    <row r="458">
      <c r="D458" s="68"/>
    </row>
    <row r="459">
      <c r="D459" s="68"/>
    </row>
    <row r="460">
      <c r="D460" s="68"/>
    </row>
    <row r="461">
      <c r="D461" s="68"/>
    </row>
    <row r="462">
      <c r="D462" s="68"/>
    </row>
    <row r="463">
      <c r="D463" s="68"/>
    </row>
    <row r="464">
      <c r="D464" s="68"/>
    </row>
    <row r="465">
      <c r="D465" s="68"/>
    </row>
    <row r="466">
      <c r="D466" s="68"/>
    </row>
    <row r="467">
      <c r="D467" s="68"/>
    </row>
    <row r="468">
      <c r="D468" s="68"/>
    </row>
    <row r="469">
      <c r="D469" s="68"/>
    </row>
    <row r="470">
      <c r="D470" s="68"/>
    </row>
    <row r="471">
      <c r="D471" s="68"/>
    </row>
    <row r="472">
      <c r="D472" s="68"/>
    </row>
    <row r="473">
      <c r="D473" s="68"/>
    </row>
    <row r="474">
      <c r="D474" s="68"/>
    </row>
    <row r="475">
      <c r="D475" s="68"/>
    </row>
    <row r="476">
      <c r="D476" s="68"/>
    </row>
    <row r="477">
      <c r="D477" s="68"/>
    </row>
    <row r="478">
      <c r="D478" s="68"/>
    </row>
    <row r="479">
      <c r="D479" s="68"/>
    </row>
    <row r="480">
      <c r="D480" s="68"/>
    </row>
    <row r="481">
      <c r="D481" s="68"/>
    </row>
    <row r="482">
      <c r="D482" s="68"/>
    </row>
    <row r="483">
      <c r="D483" s="68"/>
    </row>
    <row r="484">
      <c r="D484" s="68"/>
    </row>
    <row r="485">
      <c r="D485" s="68"/>
    </row>
    <row r="486">
      <c r="D486" s="68"/>
    </row>
    <row r="487">
      <c r="D487" s="68"/>
    </row>
    <row r="488">
      <c r="D488" s="68"/>
    </row>
    <row r="489">
      <c r="D489" s="68"/>
    </row>
    <row r="490">
      <c r="D490" s="68"/>
    </row>
    <row r="491">
      <c r="D491" s="68"/>
    </row>
    <row r="492">
      <c r="D492" s="68"/>
    </row>
    <row r="493">
      <c r="D493" s="68"/>
    </row>
    <row r="494">
      <c r="D494" s="68"/>
    </row>
    <row r="495">
      <c r="D495" s="68"/>
    </row>
    <row r="496">
      <c r="D496" s="68"/>
    </row>
    <row r="497">
      <c r="D497" s="68"/>
    </row>
    <row r="498">
      <c r="D498" s="68"/>
    </row>
    <row r="499">
      <c r="D499" s="68"/>
    </row>
    <row r="500">
      <c r="D500" s="68"/>
    </row>
    <row r="501">
      <c r="D501" s="68"/>
    </row>
    <row r="502">
      <c r="D502" s="68"/>
    </row>
    <row r="503">
      <c r="D503" s="68"/>
    </row>
    <row r="504">
      <c r="D504" s="68"/>
    </row>
    <row r="505">
      <c r="D505" s="68"/>
    </row>
    <row r="506">
      <c r="D506" s="68"/>
    </row>
    <row r="507">
      <c r="D507" s="68"/>
    </row>
    <row r="508">
      <c r="D508" s="68"/>
    </row>
    <row r="509">
      <c r="D509" s="68"/>
    </row>
    <row r="510">
      <c r="D510" s="68"/>
    </row>
    <row r="511">
      <c r="D511" s="68"/>
    </row>
    <row r="512">
      <c r="D512" s="68"/>
    </row>
    <row r="513">
      <c r="D513" s="68"/>
    </row>
    <row r="514">
      <c r="D514" s="68"/>
    </row>
    <row r="515">
      <c r="D515" s="68"/>
    </row>
    <row r="516">
      <c r="D516" s="68"/>
    </row>
    <row r="517">
      <c r="D517" s="68"/>
    </row>
    <row r="518">
      <c r="D518" s="68"/>
    </row>
    <row r="519">
      <c r="D519" s="68"/>
    </row>
    <row r="520">
      <c r="D520" s="68"/>
    </row>
    <row r="521">
      <c r="D521" s="68"/>
    </row>
    <row r="522">
      <c r="D522" s="68"/>
    </row>
    <row r="523">
      <c r="D523" s="68"/>
    </row>
    <row r="524">
      <c r="D524" s="68"/>
    </row>
    <row r="525">
      <c r="D525" s="68"/>
    </row>
    <row r="526">
      <c r="D526" s="68"/>
    </row>
    <row r="527">
      <c r="D527" s="68"/>
    </row>
    <row r="528">
      <c r="D528" s="68"/>
    </row>
    <row r="529">
      <c r="D529" s="68"/>
    </row>
    <row r="530">
      <c r="D530" s="68"/>
    </row>
    <row r="531">
      <c r="D531" s="68"/>
    </row>
    <row r="532">
      <c r="D532" s="68"/>
    </row>
    <row r="533">
      <c r="D533" s="68"/>
    </row>
    <row r="534">
      <c r="D534" s="68"/>
    </row>
    <row r="535">
      <c r="D535" s="68"/>
    </row>
    <row r="536">
      <c r="D536" s="68"/>
    </row>
    <row r="537">
      <c r="D537" s="68"/>
    </row>
    <row r="538">
      <c r="D538" s="68"/>
    </row>
    <row r="539">
      <c r="D539" s="68"/>
    </row>
    <row r="540">
      <c r="D540" s="68"/>
    </row>
    <row r="541">
      <c r="D541" s="68"/>
    </row>
    <row r="542">
      <c r="D542" s="68"/>
    </row>
    <row r="543">
      <c r="D543" s="68"/>
    </row>
    <row r="544">
      <c r="D544" s="68"/>
    </row>
    <row r="545">
      <c r="D545" s="68"/>
    </row>
    <row r="546">
      <c r="D546" s="68"/>
    </row>
    <row r="547">
      <c r="D547" s="68"/>
    </row>
    <row r="548">
      <c r="D548" s="68"/>
    </row>
    <row r="549">
      <c r="D549" s="68"/>
    </row>
    <row r="550">
      <c r="D550" s="68"/>
    </row>
    <row r="551">
      <c r="D551" s="68"/>
    </row>
    <row r="552">
      <c r="D552" s="68"/>
    </row>
    <row r="553">
      <c r="D553" s="68"/>
    </row>
    <row r="554">
      <c r="D554" s="68"/>
    </row>
    <row r="555">
      <c r="D555" s="68"/>
    </row>
    <row r="556">
      <c r="D556" s="68"/>
    </row>
    <row r="557">
      <c r="D557" s="68"/>
    </row>
    <row r="558">
      <c r="D558" s="68"/>
    </row>
    <row r="559">
      <c r="D559" s="68"/>
    </row>
    <row r="560">
      <c r="D560" s="68"/>
    </row>
    <row r="561">
      <c r="D561" s="68"/>
    </row>
    <row r="562">
      <c r="D562" s="68"/>
    </row>
    <row r="563">
      <c r="D563" s="68"/>
    </row>
    <row r="564">
      <c r="D564" s="68"/>
    </row>
    <row r="565">
      <c r="D565" s="68"/>
    </row>
    <row r="566">
      <c r="D566" s="68"/>
    </row>
    <row r="567">
      <c r="D567" s="68"/>
    </row>
    <row r="568">
      <c r="D568" s="68"/>
    </row>
    <row r="569">
      <c r="D569" s="68"/>
    </row>
    <row r="570">
      <c r="D570" s="68"/>
    </row>
    <row r="571">
      <c r="D571" s="68"/>
    </row>
    <row r="572">
      <c r="D572" s="68"/>
    </row>
    <row r="573">
      <c r="D573" s="68"/>
    </row>
    <row r="574">
      <c r="D574" s="68"/>
    </row>
    <row r="575">
      <c r="D575" s="68"/>
    </row>
    <row r="576">
      <c r="D576" s="68"/>
    </row>
    <row r="577">
      <c r="D577" s="68"/>
    </row>
    <row r="578">
      <c r="D578" s="68"/>
    </row>
    <row r="579">
      <c r="D579" s="68"/>
    </row>
    <row r="580">
      <c r="D580" s="68"/>
    </row>
    <row r="581">
      <c r="D581" s="68"/>
    </row>
    <row r="582">
      <c r="D582" s="68"/>
    </row>
    <row r="583">
      <c r="D583" s="68"/>
    </row>
    <row r="584">
      <c r="D584" s="68"/>
    </row>
    <row r="585">
      <c r="D585" s="68"/>
    </row>
    <row r="586">
      <c r="D586" s="68"/>
    </row>
    <row r="587">
      <c r="D587" s="68"/>
    </row>
    <row r="588">
      <c r="D588" s="68"/>
    </row>
    <row r="589">
      <c r="D589" s="68"/>
    </row>
    <row r="590">
      <c r="D590" s="68"/>
    </row>
    <row r="591">
      <c r="D591" s="68"/>
    </row>
    <row r="592">
      <c r="D592" s="68"/>
    </row>
    <row r="593">
      <c r="D593" s="68"/>
    </row>
    <row r="594">
      <c r="D594" s="68"/>
    </row>
    <row r="595">
      <c r="D595" s="68"/>
    </row>
    <row r="596">
      <c r="D596" s="68"/>
    </row>
    <row r="597">
      <c r="D597" s="68"/>
    </row>
    <row r="598">
      <c r="D598" s="68"/>
    </row>
    <row r="599">
      <c r="D599" s="68"/>
    </row>
    <row r="600">
      <c r="D600" s="68"/>
    </row>
    <row r="601">
      <c r="D601" s="68"/>
    </row>
    <row r="602">
      <c r="D602" s="68"/>
    </row>
    <row r="603">
      <c r="D603" s="68"/>
    </row>
    <row r="604">
      <c r="D604" s="68"/>
    </row>
    <row r="605">
      <c r="D605" s="68"/>
    </row>
    <row r="606">
      <c r="D606" s="68"/>
    </row>
    <row r="607">
      <c r="D607" s="68"/>
    </row>
    <row r="608">
      <c r="D608" s="68"/>
    </row>
    <row r="609">
      <c r="D609" s="68"/>
    </row>
    <row r="610">
      <c r="D610" s="68"/>
    </row>
    <row r="611">
      <c r="D611" s="68"/>
    </row>
    <row r="612">
      <c r="D612" s="68"/>
    </row>
    <row r="613">
      <c r="D613" s="68"/>
    </row>
    <row r="614">
      <c r="D614" s="68"/>
    </row>
    <row r="615">
      <c r="D615" s="68"/>
    </row>
    <row r="616">
      <c r="D616" s="68"/>
    </row>
    <row r="617">
      <c r="D617" s="68"/>
    </row>
    <row r="618">
      <c r="D618" s="68"/>
    </row>
    <row r="619">
      <c r="D619" s="68"/>
    </row>
    <row r="620">
      <c r="D620" s="68"/>
    </row>
    <row r="621">
      <c r="D621" s="68"/>
    </row>
    <row r="622">
      <c r="D622" s="68"/>
    </row>
    <row r="623">
      <c r="D623" s="68"/>
    </row>
    <row r="624">
      <c r="D624" s="68"/>
    </row>
    <row r="625">
      <c r="D625" s="68"/>
    </row>
    <row r="626">
      <c r="D626" s="68"/>
    </row>
    <row r="627">
      <c r="D627" s="68"/>
    </row>
    <row r="628">
      <c r="D628" s="68"/>
    </row>
    <row r="629">
      <c r="D629" s="68"/>
    </row>
    <row r="630">
      <c r="D630" s="68"/>
    </row>
    <row r="631">
      <c r="D631" s="68"/>
    </row>
    <row r="632">
      <c r="D632" s="68"/>
    </row>
    <row r="633">
      <c r="D633" s="68"/>
    </row>
    <row r="634">
      <c r="D634" s="68"/>
    </row>
    <row r="635">
      <c r="D635" s="68"/>
    </row>
    <row r="636">
      <c r="D636" s="68"/>
    </row>
    <row r="637">
      <c r="D637" s="68"/>
    </row>
    <row r="638">
      <c r="D638" s="68"/>
    </row>
    <row r="639">
      <c r="D639" s="68"/>
    </row>
    <row r="640">
      <c r="D640" s="68"/>
    </row>
    <row r="641">
      <c r="D641" s="68"/>
    </row>
    <row r="642">
      <c r="D642" s="68"/>
    </row>
    <row r="643">
      <c r="D643" s="68"/>
    </row>
    <row r="644">
      <c r="D644" s="68"/>
    </row>
    <row r="645">
      <c r="D645" s="68"/>
    </row>
    <row r="646">
      <c r="D646" s="68"/>
    </row>
    <row r="647">
      <c r="D647" s="68"/>
    </row>
    <row r="648">
      <c r="D648" s="68"/>
    </row>
    <row r="649">
      <c r="D649" s="68"/>
    </row>
    <row r="650">
      <c r="D650" s="68"/>
    </row>
    <row r="651">
      <c r="D651" s="68"/>
    </row>
    <row r="652">
      <c r="D652" s="68"/>
    </row>
    <row r="653">
      <c r="D653" s="68"/>
    </row>
    <row r="654">
      <c r="D654" s="68"/>
    </row>
    <row r="655">
      <c r="D655" s="68"/>
    </row>
    <row r="656">
      <c r="D656" s="68"/>
    </row>
    <row r="657">
      <c r="D657" s="68"/>
    </row>
    <row r="658">
      <c r="D658" s="68"/>
    </row>
    <row r="659">
      <c r="D659" s="68"/>
    </row>
    <row r="660">
      <c r="D660" s="68"/>
    </row>
    <row r="661">
      <c r="D661" s="68"/>
    </row>
    <row r="662">
      <c r="D662" s="68"/>
    </row>
    <row r="663">
      <c r="D663" s="68"/>
    </row>
    <row r="664">
      <c r="D664" s="68"/>
    </row>
    <row r="665">
      <c r="D665" s="68"/>
    </row>
    <row r="666">
      <c r="D666" s="68"/>
    </row>
    <row r="667">
      <c r="D667" s="68"/>
    </row>
    <row r="668">
      <c r="D668" s="68"/>
    </row>
    <row r="669">
      <c r="D669" s="68"/>
    </row>
    <row r="670">
      <c r="D670" s="68"/>
    </row>
    <row r="671">
      <c r="D671" s="68"/>
    </row>
    <row r="672">
      <c r="D672" s="68"/>
    </row>
    <row r="673">
      <c r="D673" s="68"/>
    </row>
    <row r="674">
      <c r="D674" s="68"/>
    </row>
    <row r="675">
      <c r="D675" s="68"/>
    </row>
    <row r="676">
      <c r="D676" s="68"/>
    </row>
    <row r="677">
      <c r="D677" s="68"/>
    </row>
    <row r="678">
      <c r="D678" s="68"/>
    </row>
    <row r="679">
      <c r="D679" s="68"/>
    </row>
    <row r="680">
      <c r="D680" s="68"/>
    </row>
    <row r="681">
      <c r="D681" s="68"/>
    </row>
    <row r="682">
      <c r="D682" s="68"/>
    </row>
    <row r="683">
      <c r="D683" s="68"/>
    </row>
    <row r="684">
      <c r="D684" s="68"/>
    </row>
    <row r="685">
      <c r="D685" s="68"/>
    </row>
    <row r="686">
      <c r="D686" s="68"/>
    </row>
    <row r="687">
      <c r="D687" s="68"/>
    </row>
    <row r="688">
      <c r="D688" s="68"/>
    </row>
    <row r="689">
      <c r="D689" s="68"/>
    </row>
    <row r="690">
      <c r="D690" s="68"/>
    </row>
    <row r="691">
      <c r="D691" s="68"/>
    </row>
    <row r="692">
      <c r="D692" s="68"/>
    </row>
    <row r="693">
      <c r="D693" s="68"/>
    </row>
    <row r="694">
      <c r="D694" s="68"/>
    </row>
    <row r="695">
      <c r="D695" s="68"/>
    </row>
    <row r="696">
      <c r="D696" s="68"/>
    </row>
    <row r="697">
      <c r="D697" s="68"/>
    </row>
    <row r="698">
      <c r="D698" s="68"/>
    </row>
    <row r="699">
      <c r="D699" s="68"/>
    </row>
    <row r="700">
      <c r="D700" s="68"/>
    </row>
    <row r="701">
      <c r="D701" s="68"/>
    </row>
    <row r="702">
      <c r="D702" s="68"/>
    </row>
    <row r="703">
      <c r="D703" s="68"/>
    </row>
    <row r="704">
      <c r="D704" s="68"/>
    </row>
    <row r="705">
      <c r="D705" s="68"/>
    </row>
    <row r="706">
      <c r="D706" s="68"/>
    </row>
    <row r="707">
      <c r="D707" s="68"/>
    </row>
    <row r="708">
      <c r="D708" s="68"/>
    </row>
    <row r="709">
      <c r="D709" s="68"/>
    </row>
    <row r="710">
      <c r="D710" s="68"/>
    </row>
    <row r="711">
      <c r="D711" s="68"/>
    </row>
    <row r="712">
      <c r="D712" s="68"/>
    </row>
    <row r="713">
      <c r="D713" s="68"/>
    </row>
    <row r="714">
      <c r="D714" s="68"/>
    </row>
    <row r="715">
      <c r="D715" s="68"/>
    </row>
    <row r="716">
      <c r="D716" s="68"/>
    </row>
    <row r="717">
      <c r="D717" s="68"/>
    </row>
    <row r="718">
      <c r="D718" s="68"/>
    </row>
    <row r="719">
      <c r="D719" s="68"/>
    </row>
    <row r="720">
      <c r="D720" s="68"/>
    </row>
    <row r="721">
      <c r="D721" s="68"/>
    </row>
    <row r="722">
      <c r="D722" s="68"/>
    </row>
    <row r="723">
      <c r="D723" s="68"/>
    </row>
    <row r="724">
      <c r="D724" s="68"/>
    </row>
    <row r="725">
      <c r="D725" s="68"/>
    </row>
    <row r="726">
      <c r="D726" s="68"/>
    </row>
    <row r="727">
      <c r="D727" s="68"/>
    </row>
    <row r="728">
      <c r="D728" s="68"/>
    </row>
    <row r="729">
      <c r="D729" s="68"/>
    </row>
    <row r="730">
      <c r="D730" s="68"/>
    </row>
    <row r="731">
      <c r="D731" s="68"/>
    </row>
    <row r="732">
      <c r="D732" s="68"/>
    </row>
    <row r="733">
      <c r="D733" s="68"/>
    </row>
    <row r="734">
      <c r="D734" s="68"/>
    </row>
    <row r="735">
      <c r="D735" s="68"/>
    </row>
    <row r="736">
      <c r="D736" s="68"/>
    </row>
    <row r="737">
      <c r="D737" s="68"/>
    </row>
    <row r="738">
      <c r="D738" s="68"/>
    </row>
    <row r="739">
      <c r="D739" s="68"/>
    </row>
    <row r="740">
      <c r="D740" s="68"/>
    </row>
    <row r="741">
      <c r="D741" s="68"/>
    </row>
    <row r="742">
      <c r="D742" s="68"/>
    </row>
    <row r="743">
      <c r="D743" s="68"/>
    </row>
    <row r="744">
      <c r="D744" s="68"/>
    </row>
    <row r="745">
      <c r="D745" s="68"/>
    </row>
    <row r="746">
      <c r="D746" s="68"/>
    </row>
    <row r="747">
      <c r="D747" s="68"/>
    </row>
    <row r="748">
      <c r="D748" s="68"/>
    </row>
    <row r="749">
      <c r="D749" s="68"/>
    </row>
    <row r="750">
      <c r="D750" s="68"/>
    </row>
    <row r="751">
      <c r="D751" s="68"/>
    </row>
    <row r="752">
      <c r="D752" s="68"/>
    </row>
    <row r="753">
      <c r="D753" s="68"/>
    </row>
    <row r="754">
      <c r="D754" s="68"/>
    </row>
    <row r="755">
      <c r="D755" s="68"/>
    </row>
    <row r="756">
      <c r="D756" s="68"/>
    </row>
    <row r="757">
      <c r="D757" s="68"/>
    </row>
    <row r="758">
      <c r="D758" s="68"/>
    </row>
    <row r="759">
      <c r="D759" s="68"/>
    </row>
    <row r="760">
      <c r="D760" s="68"/>
    </row>
    <row r="761">
      <c r="D761" s="68"/>
    </row>
    <row r="762">
      <c r="D762" s="68"/>
    </row>
    <row r="763">
      <c r="D763" s="68"/>
    </row>
    <row r="764">
      <c r="D764" s="68"/>
    </row>
    <row r="765">
      <c r="D765" s="68"/>
    </row>
    <row r="766">
      <c r="D766" s="68"/>
    </row>
    <row r="767">
      <c r="D767" s="68"/>
    </row>
    <row r="768">
      <c r="D768" s="68"/>
    </row>
    <row r="769">
      <c r="D769" s="68"/>
    </row>
    <row r="770">
      <c r="D770" s="68"/>
    </row>
    <row r="771">
      <c r="D771" s="68"/>
    </row>
    <row r="772">
      <c r="D772" s="68"/>
    </row>
    <row r="773">
      <c r="D773" s="68"/>
    </row>
    <row r="774">
      <c r="D774" s="68"/>
    </row>
    <row r="775">
      <c r="D775" s="68"/>
    </row>
    <row r="776">
      <c r="D776" s="68"/>
    </row>
    <row r="777">
      <c r="D777" s="68"/>
    </row>
    <row r="778">
      <c r="D778" s="68"/>
    </row>
    <row r="779">
      <c r="D779" s="68"/>
    </row>
    <row r="780">
      <c r="D780" s="68"/>
    </row>
    <row r="781">
      <c r="D781" s="68"/>
    </row>
    <row r="782">
      <c r="D782" s="68"/>
    </row>
    <row r="783">
      <c r="D783" s="68"/>
    </row>
    <row r="784">
      <c r="D784" s="68"/>
    </row>
    <row r="785">
      <c r="D785" s="68"/>
    </row>
    <row r="786">
      <c r="D786" s="68"/>
    </row>
    <row r="787">
      <c r="D787" s="68"/>
    </row>
    <row r="788">
      <c r="D788" s="68"/>
    </row>
    <row r="789">
      <c r="D789" s="68"/>
    </row>
    <row r="790">
      <c r="D790" s="68"/>
    </row>
    <row r="791">
      <c r="D791" s="68"/>
    </row>
    <row r="792">
      <c r="D792" s="68"/>
    </row>
    <row r="793">
      <c r="D793" s="68"/>
    </row>
    <row r="794">
      <c r="D794" s="68"/>
    </row>
    <row r="795">
      <c r="D795" s="68"/>
    </row>
    <row r="796">
      <c r="D796" s="68"/>
    </row>
    <row r="797">
      <c r="D797" s="68"/>
    </row>
    <row r="798">
      <c r="D798" s="68"/>
    </row>
    <row r="799">
      <c r="D799" s="68"/>
    </row>
    <row r="800">
      <c r="D800" s="68"/>
    </row>
    <row r="801">
      <c r="D801" s="68"/>
    </row>
    <row r="802">
      <c r="D802" s="68"/>
    </row>
    <row r="803">
      <c r="D803" s="68"/>
    </row>
    <row r="804">
      <c r="D804" s="68"/>
    </row>
    <row r="805">
      <c r="D805" s="68"/>
    </row>
    <row r="806">
      <c r="D806" s="68"/>
    </row>
    <row r="807">
      <c r="D807" s="68"/>
    </row>
    <row r="808">
      <c r="D808" s="68"/>
    </row>
    <row r="809">
      <c r="D809" s="68"/>
    </row>
    <row r="810">
      <c r="D810" s="68"/>
    </row>
    <row r="811">
      <c r="D811" s="68"/>
    </row>
    <row r="812">
      <c r="D812" s="68"/>
    </row>
    <row r="813">
      <c r="D813" s="68"/>
    </row>
    <row r="814">
      <c r="D814" s="68"/>
    </row>
    <row r="815">
      <c r="D815" s="68"/>
    </row>
    <row r="816">
      <c r="D816" s="68"/>
    </row>
    <row r="817">
      <c r="D817" s="68"/>
    </row>
    <row r="818">
      <c r="D818" s="68"/>
    </row>
    <row r="819">
      <c r="D819" s="68"/>
    </row>
    <row r="820">
      <c r="D820" s="68"/>
    </row>
    <row r="821">
      <c r="D821" s="68"/>
    </row>
    <row r="822">
      <c r="D822" s="68"/>
    </row>
    <row r="823">
      <c r="D823" s="68"/>
    </row>
    <row r="824">
      <c r="D824" s="68"/>
    </row>
    <row r="825">
      <c r="D825" s="68"/>
    </row>
    <row r="826">
      <c r="D826" s="68"/>
    </row>
    <row r="827">
      <c r="D827" s="68"/>
    </row>
    <row r="828">
      <c r="D828" s="68"/>
    </row>
    <row r="829">
      <c r="D829" s="68"/>
    </row>
    <row r="830">
      <c r="D830" s="68"/>
    </row>
    <row r="831">
      <c r="D831" s="68"/>
    </row>
    <row r="832">
      <c r="D832" s="68"/>
    </row>
    <row r="833">
      <c r="D833" s="68"/>
    </row>
    <row r="834">
      <c r="D834" s="68"/>
    </row>
    <row r="835">
      <c r="D835" s="68"/>
    </row>
    <row r="836">
      <c r="D836" s="68"/>
    </row>
    <row r="837">
      <c r="D837" s="68"/>
    </row>
    <row r="838">
      <c r="D838" s="68"/>
    </row>
    <row r="839">
      <c r="D839" s="68"/>
    </row>
    <row r="840">
      <c r="D840" s="68"/>
    </row>
    <row r="841">
      <c r="D841" s="68"/>
    </row>
    <row r="842">
      <c r="D842" s="68"/>
    </row>
    <row r="843">
      <c r="D843" s="68"/>
    </row>
    <row r="844">
      <c r="D844" s="68"/>
    </row>
    <row r="845">
      <c r="D845" s="68"/>
    </row>
    <row r="846">
      <c r="D846" s="68"/>
    </row>
    <row r="847">
      <c r="D847" s="68"/>
    </row>
    <row r="848">
      <c r="D848" s="68"/>
    </row>
    <row r="849">
      <c r="D849" s="68"/>
    </row>
    <row r="850">
      <c r="D850" s="68"/>
    </row>
    <row r="851">
      <c r="D851" s="68"/>
    </row>
    <row r="852">
      <c r="D852" s="68"/>
    </row>
    <row r="853">
      <c r="D853" s="68"/>
    </row>
    <row r="854">
      <c r="D854" s="68"/>
    </row>
    <row r="855">
      <c r="D855" s="68"/>
    </row>
    <row r="856">
      <c r="D856" s="68"/>
    </row>
    <row r="857">
      <c r="D857" s="68"/>
    </row>
    <row r="858">
      <c r="D858" s="68"/>
    </row>
    <row r="859">
      <c r="D859" s="68"/>
    </row>
    <row r="860">
      <c r="D860" s="68"/>
    </row>
    <row r="861">
      <c r="D861" s="68"/>
    </row>
    <row r="862">
      <c r="D862" s="68"/>
    </row>
    <row r="863">
      <c r="D863" s="68"/>
    </row>
    <row r="864">
      <c r="D864" s="68"/>
    </row>
    <row r="865">
      <c r="D865" s="68"/>
    </row>
    <row r="866">
      <c r="D866" s="68"/>
    </row>
    <row r="867">
      <c r="D867" s="68"/>
    </row>
    <row r="868">
      <c r="D868" s="68"/>
    </row>
    <row r="869">
      <c r="D869" s="68"/>
    </row>
    <row r="870">
      <c r="D870" s="68"/>
    </row>
    <row r="871">
      <c r="D871" s="68"/>
    </row>
    <row r="872">
      <c r="D872" s="68"/>
    </row>
    <row r="873">
      <c r="D873" s="68"/>
    </row>
    <row r="874">
      <c r="D874" s="68"/>
    </row>
    <row r="875">
      <c r="D875" s="68"/>
    </row>
    <row r="876">
      <c r="D876" s="68"/>
    </row>
    <row r="877">
      <c r="D877" s="68"/>
    </row>
    <row r="878">
      <c r="D878" s="68"/>
    </row>
    <row r="879">
      <c r="D879" s="68"/>
    </row>
    <row r="880">
      <c r="D880" s="68"/>
    </row>
    <row r="881">
      <c r="D881" s="68"/>
    </row>
    <row r="882">
      <c r="D882" s="68"/>
    </row>
    <row r="883">
      <c r="D883" s="68"/>
    </row>
    <row r="884">
      <c r="D884" s="68"/>
    </row>
    <row r="885">
      <c r="D885" s="68"/>
    </row>
    <row r="886">
      <c r="D886" s="68"/>
    </row>
    <row r="887">
      <c r="D887" s="68"/>
    </row>
    <row r="888">
      <c r="D888" s="68"/>
    </row>
    <row r="889">
      <c r="D889" s="68"/>
    </row>
    <row r="890">
      <c r="D890" s="68"/>
    </row>
    <row r="891">
      <c r="D891" s="68"/>
    </row>
    <row r="892">
      <c r="D892" s="68"/>
    </row>
    <row r="893">
      <c r="D893" s="68"/>
    </row>
    <row r="894">
      <c r="D894" s="68"/>
    </row>
    <row r="895">
      <c r="D895" s="68"/>
    </row>
    <row r="896">
      <c r="D896" s="68"/>
    </row>
    <row r="897">
      <c r="D897" s="68"/>
    </row>
    <row r="898">
      <c r="D898" s="68"/>
    </row>
    <row r="899">
      <c r="D899" s="68"/>
    </row>
    <row r="900">
      <c r="D900" s="68"/>
    </row>
    <row r="901">
      <c r="D901" s="68"/>
    </row>
    <row r="902">
      <c r="D902" s="68"/>
    </row>
    <row r="903">
      <c r="D903" s="68"/>
    </row>
    <row r="904">
      <c r="D904" s="68"/>
    </row>
    <row r="905">
      <c r="D905" s="68"/>
    </row>
    <row r="906">
      <c r="D906" s="68"/>
    </row>
    <row r="907">
      <c r="D907" s="68"/>
    </row>
    <row r="908">
      <c r="D908" s="68"/>
    </row>
    <row r="909">
      <c r="D909" s="68"/>
    </row>
    <row r="910">
      <c r="D910" s="68"/>
    </row>
    <row r="911">
      <c r="D911" s="68"/>
    </row>
    <row r="912">
      <c r="D912" s="68"/>
    </row>
    <row r="913">
      <c r="D913" s="68"/>
    </row>
    <row r="914">
      <c r="D914" s="68"/>
    </row>
    <row r="915">
      <c r="D915" s="68"/>
    </row>
    <row r="916">
      <c r="D916" s="68"/>
    </row>
    <row r="917">
      <c r="D917" s="68"/>
    </row>
    <row r="918">
      <c r="D918" s="68"/>
    </row>
    <row r="919">
      <c r="D919" s="68"/>
    </row>
    <row r="920">
      <c r="D920" s="68"/>
    </row>
    <row r="921">
      <c r="D921" s="68"/>
    </row>
    <row r="922">
      <c r="D922" s="68"/>
    </row>
    <row r="923">
      <c r="D923" s="68"/>
    </row>
    <row r="924">
      <c r="D924" s="68"/>
    </row>
    <row r="925">
      <c r="D925" s="68"/>
    </row>
    <row r="926">
      <c r="D926" s="68"/>
    </row>
    <row r="927">
      <c r="D927" s="68"/>
    </row>
    <row r="928">
      <c r="D928" s="68"/>
    </row>
    <row r="929">
      <c r="D929" s="68"/>
    </row>
    <row r="930">
      <c r="D930" s="68"/>
    </row>
    <row r="931">
      <c r="D931" s="68"/>
    </row>
    <row r="932">
      <c r="D932" s="68"/>
    </row>
    <row r="933">
      <c r="D933" s="68"/>
    </row>
    <row r="934">
      <c r="D934" s="68"/>
    </row>
    <row r="935">
      <c r="D935" s="68"/>
    </row>
    <row r="936">
      <c r="D936" s="68"/>
    </row>
    <row r="937">
      <c r="D937" s="68"/>
    </row>
    <row r="938">
      <c r="D938" s="68"/>
    </row>
    <row r="939">
      <c r="D939" s="68"/>
    </row>
    <row r="940">
      <c r="D940" s="68"/>
    </row>
    <row r="941">
      <c r="D941" s="68"/>
    </row>
    <row r="942">
      <c r="D942" s="68"/>
    </row>
    <row r="943">
      <c r="D943" s="68"/>
    </row>
    <row r="944">
      <c r="D944" s="68"/>
    </row>
    <row r="945">
      <c r="D945" s="68"/>
    </row>
    <row r="946">
      <c r="D946" s="68"/>
    </row>
    <row r="947">
      <c r="D947" s="68"/>
    </row>
    <row r="948">
      <c r="D948" s="68"/>
    </row>
    <row r="949">
      <c r="D949" s="68"/>
    </row>
    <row r="950">
      <c r="D950" s="68"/>
    </row>
    <row r="951">
      <c r="D951" s="68"/>
    </row>
    <row r="952">
      <c r="D952" s="68"/>
    </row>
    <row r="953">
      <c r="D953" s="68"/>
    </row>
    <row r="954">
      <c r="D954" s="68"/>
    </row>
    <row r="955">
      <c r="D955" s="68"/>
    </row>
    <row r="956">
      <c r="D956" s="68"/>
    </row>
    <row r="957">
      <c r="D957" s="68"/>
    </row>
    <row r="958">
      <c r="D958" s="68"/>
    </row>
    <row r="959">
      <c r="D959" s="68"/>
    </row>
    <row r="960">
      <c r="D960" s="68"/>
    </row>
    <row r="961">
      <c r="D961" s="68"/>
    </row>
    <row r="962">
      <c r="D962" s="68"/>
    </row>
    <row r="963">
      <c r="D963" s="68"/>
    </row>
    <row r="964">
      <c r="D964" s="68"/>
    </row>
    <row r="965">
      <c r="D965" s="68"/>
    </row>
    <row r="966">
      <c r="D966" s="68"/>
    </row>
    <row r="967">
      <c r="D967" s="68"/>
    </row>
    <row r="968">
      <c r="D968" s="68"/>
    </row>
    <row r="969">
      <c r="D969" s="68"/>
    </row>
    <row r="970">
      <c r="D970" s="68"/>
    </row>
    <row r="971">
      <c r="D971" s="68"/>
    </row>
    <row r="972">
      <c r="D972" s="68"/>
    </row>
    <row r="973">
      <c r="D973" s="68"/>
    </row>
    <row r="974">
      <c r="D974" s="68"/>
    </row>
    <row r="975">
      <c r="D975" s="68"/>
    </row>
    <row r="976">
      <c r="D976" s="68"/>
    </row>
    <row r="977">
      <c r="D977" s="68"/>
    </row>
    <row r="978">
      <c r="D978" s="68"/>
    </row>
    <row r="979">
      <c r="D979" s="68"/>
    </row>
    <row r="980">
      <c r="D980" s="68"/>
    </row>
    <row r="981">
      <c r="D981" s="68"/>
    </row>
    <row r="982">
      <c r="D982" s="68"/>
    </row>
    <row r="983">
      <c r="D983" s="68"/>
    </row>
    <row r="984">
      <c r="D984" s="68"/>
    </row>
    <row r="985">
      <c r="D985" s="68"/>
    </row>
    <row r="986">
      <c r="D986" s="68"/>
    </row>
    <row r="987">
      <c r="D987" s="68"/>
    </row>
    <row r="988">
      <c r="D988" s="68"/>
    </row>
    <row r="989">
      <c r="D989" s="68"/>
    </row>
    <row r="990">
      <c r="D990" s="68"/>
    </row>
    <row r="991">
      <c r="D991" s="68"/>
    </row>
    <row r="992">
      <c r="D992" s="68"/>
    </row>
    <row r="993">
      <c r="D993" s="68"/>
    </row>
    <row r="994">
      <c r="D994" s="68"/>
    </row>
    <row r="995">
      <c r="D995" s="68"/>
    </row>
    <row r="996">
      <c r="D996" s="68"/>
    </row>
    <row r="997">
      <c r="D997" s="68"/>
    </row>
    <row r="998">
      <c r="D998" s="68"/>
    </row>
    <row r="999">
      <c r="D999" s="68"/>
    </row>
    <row r="1000">
      <c r="D1000" s="68"/>
    </row>
    <row r="1001">
      <c r="D1001" s="68"/>
    </row>
    <row r="1002">
      <c r="D1002" s="68"/>
    </row>
  </sheetData>
  <mergeCells count="4">
    <mergeCell ref="A1:C1"/>
    <mergeCell ref="D1:F1"/>
    <mergeCell ref="A21:C21"/>
    <mergeCell ref="D21:F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4.75"/>
    <col customWidth="1" min="3" max="3" width="21.13"/>
    <col customWidth="1" min="4" max="4" width="18.0"/>
  </cols>
  <sheetData>
    <row r="1" ht="31.5" customHeight="1"/>
    <row r="2" ht="31.5" customHeight="1">
      <c r="A2" s="69"/>
      <c r="B2" s="70" t="s">
        <v>58</v>
      </c>
      <c r="C2" s="70" t="s">
        <v>59</v>
      </c>
      <c r="D2" s="71" t="s">
        <v>60</v>
      </c>
      <c r="E2" s="72" t="s">
        <v>9</v>
      </c>
      <c r="F2" s="72" t="s">
        <v>61</v>
      </c>
      <c r="G2" s="72" t="s">
        <v>57</v>
      </c>
      <c r="H2" s="72" t="s">
        <v>31</v>
      </c>
      <c r="I2" s="72" t="s">
        <v>24</v>
      </c>
    </row>
    <row r="3" ht="31.5" customHeight="1">
      <c r="A3" s="73" t="s">
        <v>62</v>
      </c>
      <c r="B3" s="73">
        <v>1000.0</v>
      </c>
      <c r="C3" s="73">
        <f>B3*1.17</f>
        <v>1170</v>
      </c>
      <c r="D3" s="74">
        <f>C3/E3</f>
        <v>8.357142857</v>
      </c>
      <c r="E3" s="73">
        <v>140.0</v>
      </c>
      <c r="F3" s="73"/>
      <c r="G3" s="69"/>
      <c r="H3" s="69"/>
      <c r="I3" s="69"/>
      <c r="J3" s="75"/>
      <c r="K3" s="75"/>
    </row>
    <row r="4" ht="31.5" customHeight="1">
      <c r="A4" s="73" t="s">
        <v>63</v>
      </c>
      <c r="B4" s="73">
        <v>1000.0</v>
      </c>
      <c r="C4" s="73">
        <f t="shared" ref="C4:C5" si="1">B4*1.13</f>
        <v>1130</v>
      </c>
      <c r="D4" s="76">
        <f t="shared" ref="D4:D5" si="2">C4/F4</f>
        <v>12.55555556</v>
      </c>
      <c r="E4" s="69"/>
      <c r="F4" s="73">
        <v>90.0</v>
      </c>
      <c r="G4" s="73">
        <v>20.0</v>
      </c>
      <c r="H4" s="69"/>
      <c r="I4" s="69"/>
      <c r="J4" s="75"/>
      <c r="K4" s="75"/>
    </row>
    <row r="5" ht="31.5" customHeight="1">
      <c r="A5" s="73" t="s">
        <v>64</v>
      </c>
      <c r="B5" s="73">
        <v>1000.0</v>
      </c>
      <c r="C5" s="73">
        <f t="shared" si="1"/>
        <v>1130</v>
      </c>
      <c r="D5" s="76">
        <f t="shared" si="2"/>
        <v>13.29411765</v>
      </c>
      <c r="E5" s="69"/>
      <c r="F5" s="73">
        <v>85.0</v>
      </c>
      <c r="G5" s="73">
        <v>20.0</v>
      </c>
      <c r="H5" s="69"/>
      <c r="I5" s="69"/>
      <c r="J5" s="75"/>
      <c r="K5" s="75"/>
    </row>
    <row r="6" ht="31.5" customHeight="1">
      <c r="A6" s="73" t="s">
        <v>24</v>
      </c>
      <c r="B6" s="73">
        <v>1000.0</v>
      </c>
      <c r="C6" s="73">
        <f>B6*1.05</f>
        <v>1050</v>
      </c>
      <c r="D6" s="76">
        <f>C6/I6</f>
        <v>7.5</v>
      </c>
      <c r="E6" s="69"/>
      <c r="F6" s="69"/>
      <c r="G6" s="69"/>
      <c r="H6" s="69"/>
      <c r="I6" s="73">
        <v>140.0</v>
      </c>
      <c r="J6" s="75"/>
      <c r="K6" s="75"/>
    </row>
    <row r="7" ht="31.5" customHeight="1">
      <c r="A7" s="73" t="s">
        <v>57</v>
      </c>
      <c r="B7" s="73">
        <v>1000.0</v>
      </c>
      <c r="C7" s="73">
        <v>1000.0</v>
      </c>
      <c r="D7" s="76">
        <f>C7/G7</f>
        <v>10</v>
      </c>
      <c r="E7" s="69"/>
      <c r="F7" s="69"/>
      <c r="G7" s="73">
        <v>100.0</v>
      </c>
      <c r="H7" s="69"/>
      <c r="I7" s="69"/>
      <c r="J7" s="75"/>
      <c r="K7" s="75"/>
    </row>
    <row r="8" ht="31.5" customHeight="1">
      <c r="A8" s="73" t="s">
        <v>31</v>
      </c>
      <c r="B8" s="73">
        <v>1000.0</v>
      </c>
      <c r="C8" s="73">
        <v>1000.0</v>
      </c>
      <c r="D8" s="76"/>
      <c r="E8" s="73">
        <v>90.0</v>
      </c>
      <c r="F8" s="69"/>
      <c r="G8" s="73">
        <v>10.0</v>
      </c>
      <c r="H8" s="73">
        <v>20.0</v>
      </c>
      <c r="I8" s="69"/>
      <c r="J8" s="75"/>
      <c r="K8" s="75"/>
    </row>
    <row r="9" ht="31.5" customHeight="1">
      <c r="A9" s="73" t="s">
        <v>65</v>
      </c>
      <c r="B9" s="73">
        <v>1000.0</v>
      </c>
      <c r="C9" s="73"/>
      <c r="D9" s="76"/>
      <c r="E9" s="73"/>
      <c r="F9" s="69"/>
      <c r="G9" s="69"/>
      <c r="H9" s="69"/>
      <c r="I9" s="69"/>
      <c r="J9" s="75"/>
      <c r="K9" s="75"/>
    </row>
    <row r="10" ht="31.5" customHeight="1">
      <c r="A10" s="73" t="s">
        <v>66</v>
      </c>
      <c r="B10" s="73"/>
      <c r="C10" s="73"/>
      <c r="D10" s="76"/>
      <c r="E10" s="69"/>
      <c r="F10" s="69"/>
      <c r="G10" s="69"/>
      <c r="H10" s="69"/>
      <c r="I10" s="69"/>
      <c r="J10" s="75"/>
      <c r="K10" s="75"/>
    </row>
    <row r="11" ht="31.5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9.38"/>
    <col customWidth="1" min="3" max="3" width="23.88"/>
    <col customWidth="1" min="6" max="6" width="24.63"/>
  </cols>
  <sheetData>
    <row r="1" ht="22.5" customHeight="1">
      <c r="A1" s="77"/>
      <c r="B1" s="78"/>
      <c r="C1" s="79"/>
      <c r="D1" s="80"/>
      <c r="E1" s="81"/>
      <c r="F1" s="78"/>
    </row>
    <row r="2" ht="18.75" customHeight="1">
      <c r="A2" s="77" t="s">
        <v>54</v>
      </c>
      <c r="B2" s="78"/>
      <c r="C2" s="13" t="s">
        <v>6</v>
      </c>
      <c r="D2" s="14" t="s">
        <v>7</v>
      </c>
      <c r="E2" s="15">
        <v>36.0</v>
      </c>
      <c r="F2" s="78"/>
    </row>
    <row r="3" ht="18.75" customHeight="1">
      <c r="A3" s="77" t="s">
        <v>67</v>
      </c>
      <c r="B3" s="82" t="s">
        <v>68</v>
      </c>
      <c r="C3" s="13" t="s">
        <v>8</v>
      </c>
      <c r="D3" s="14" t="s">
        <v>7</v>
      </c>
      <c r="E3" s="15">
        <v>70.3</v>
      </c>
      <c r="F3" s="78"/>
    </row>
    <row r="4" ht="18.75" customHeight="1">
      <c r="A4" s="78"/>
      <c r="B4" s="78"/>
      <c r="C4" s="13" t="s">
        <v>9</v>
      </c>
      <c r="D4" s="14" t="s">
        <v>7</v>
      </c>
      <c r="E4" s="15">
        <v>5.0</v>
      </c>
      <c r="F4" s="83">
        <f>E4*1.17/0.14</f>
        <v>41.78571429</v>
      </c>
    </row>
    <row r="5" ht="18.75" customHeight="1">
      <c r="A5" s="82" t="s">
        <v>69</v>
      </c>
      <c r="B5" s="82">
        <v>3.0</v>
      </c>
      <c r="C5" s="13" t="s">
        <v>10</v>
      </c>
      <c r="D5" s="14" t="s">
        <v>7</v>
      </c>
      <c r="E5" s="15">
        <v>13.15</v>
      </c>
      <c r="F5" s="78"/>
    </row>
    <row r="6" ht="18.75" customHeight="1">
      <c r="A6" s="82" t="s">
        <v>70</v>
      </c>
      <c r="B6" s="78"/>
      <c r="C6" s="13" t="s">
        <v>11</v>
      </c>
      <c r="D6" s="14" t="s">
        <v>7</v>
      </c>
      <c r="E6" s="15">
        <v>35.0</v>
      </c>
      <c r="F6" s="78"/>
    </row>
    <row r="7" ht="18.75" customHeight="1">
      <c r="A7" s="82" t="s">
        <v>71</v>
      </c>
      <c r="B7" s="78"/>
      <c r="C7" s="13" t="s">
        <v>12</v>
      </c>
      <c r="D7" s="14" t="s">
        <v>7</v>
      </c>
      <c r="E7" s="15">
        <f>2.7+8*1.13</f>
        <v>11.74</v>
      </c>
      <c r="F7" s="78"/>
    </row>
    <row r="8" ht="18.75" customHeight="1">
      <c r="A8" s="82" t="s">
        <v>72</v>
      </c>
      <c r="B8" s="78"/>
      <c r="C8" s="13"/>
      <c r="D8" s="14"/>
      <c r="E8" s="15"/>
      <c r="F8" s="78"/>
    </row>
    <row r="9" ht="18.75" customHeight="1">
      <c r="A9" s="82" t="s">
        <v>73</v>
      </c>
      <c r="B9" s="78"/>
      <c r="C9" s="13"/>
      <c r="D9" s="14"/>
      <c r="E9" s="15"/>
      <c r="F9" s="78"/>
    </row>
    <row r="10" ht="18.75" customHeight="1">
      <c r="B10" s="78"/>
      <c r="C10" s="13" t="s">
        <v>13</v>
      </c>
      <c r="D10" s="14" t="s">
        <v>7</v>
      </c>
      <c r="E10" s="15">
        <v>3.0</v>
      </c>
      <c r="F10" s="78"/>
    </row>
    <row r="11" ht="18.75" customHeight="1">
      <c r="A11" s="82" t="s">
        <v>32</v>
      </c>
      <c r="B11" s="78"/>
      <c r="C11" s="13" t="s">
        <v>14</v>
      </c>
      <c r="D11" s="23"/>
      <c r="E11" s="15">
        <v>4.0</v>
      </c>
      <c r="F11" s="78"/>
    </row>
    <row r="12" ht="18.75" customHeight="1">
      <c r="A12" s="78"/>
      <c r="B12" s="78"/>
      <c r="C12" s="24" t="s">
        <v>15</v>
      </c>
      <c r="D12" s="23"/>
      <c r="E12" s="15">
        <f>20+4.5</f>
        <v>24.5</v>
      </c>
      <c r="F12" s="78"/>
    </row>
    <row r="13" ht="18.75" customHeight="1">
      <c r="A13" s="82" t="s">
        <v>74</v>
      </c>
      <c r="B13" s="78"/>
      <c r="C13" s="13" t="s">
        <v>16</v>
      </c>
      <c r="D13" s="23"/>
      <c r="E13" s="15">
        <f>7+2.7</f>
        <v>9.7</v>
      </c>
      <c r="F13" s="78"/>
    </row>
    <row r="14" ht="18.75" customHeight="1">
      <c r="A14" s="78"/>
      <c r="B14" s="78"/>
      <c r="C14" s="13" t="s">
        <v>17</v>
      </c>
      <c r="D14" s="23"/>
      <c r="E14" s="15">
        <f>8.2+6+10+3</f>
        <v>27.2</v>
      </c>
      <c r="F14" s="78"/>
    </row>
    <row r="15" ht="18.75" customHeight="1">
      <c r="A15" s="82" t="s">
        <v>30</v>
      </c>
      <c r="B15" s="78"/>
      <c r="C15" s="13" t="s">
        <v>18</v>
      </c>
      <c r="D15" s="23"/>
      <c r="E15" s="15">
        <v>7.0</v>
      </c>
      <c r="F15" s="78"/>
    </row>
    <row r="16" ht="18.75" customHeight="1">
      <c r="A16" s="78"/>
      <c r="B16" s="78"/>
      <c r="C16" s="26"/>
      <c r="D16" s="23"/>
      <c r="E16" s="15"/>
      <c r="F16" s="78"/>
    </row>
    <row r="17" ht="18.75" customHeight="1">
      <c r="A17" s="78"/>
      <c r="B17" s="78"/>
      <c r="C17" s="24"/>
      <c r="D17" s="23"/>
      <c r="E17" s="15"/>
      <c r="F17" s="78"/>
    </row>
    <row r="18" ht="18.75" customHeight="1">
      <c r="A18" s="78"/>
      <c r="B18" s="78"/>
      <c r="C18" s="13" t="s">
        <v>19</v>
      </c>
      <c r="D18" s="27" t="s">
        <v>20</v>
      </c>
      <c r="E18" s="15">
        <v>10.0</v>
      </c>
      <c r="F18" s="78"/>
    </row>
    <row r="19" ht="18.75" customHeight="1">
      <c r="C19" s="13" t="s">
        <v>22</v>
      </c>
      <c r="D19" s="27" t="s">
        <v>20</v>
      </c>
      <c r="E19" s="15">
        <v>40.0</v>
      </c>
    </row>
    <row r="20" ht="18.75" customHeight="1">
      <c r="C20" s="24"/>
      <c r="D20" s="23"/>
      <c r="E20" s="15"/>
    </row>
    <row r="21" ht="18.75" customHeight="1">
      <c r="C21" s="24" t="s">
        <v>23</v>
      </c>
      <c r="D21" s="14" t="s">
        <v>7</v>
      </c>
      <c r="E21" s="15">
        <v>7.2</v>
      </c>
    </row>
    <row r="22" ht="18.75" customHeight="1">
      <c r="C22" s="24" t="s">
        <v>24</v>
      </c>
      <c r="D22" s="14" t="s">
        <v>7</v>
      </c>
      <c r="E22" s="15">
        <v>3.05</v>
      </c>
    </row>
    <row r="23" ht="18.75" customHeight="1">
      <c r="C23" s="24"/>
      <c r="D23" s="23"/>
      <c r="E23" s="15"/>
    </row>
    <row r="24">
      <c r="C24" s="29" t="s">
        <v>25</v>
      </c>
      <c r="D24" s="23"/>
      <c r="E24" s="15">
        <v>24.0</v>
      </c>
    </row>
    <row r="25">
      <c r="C25" s="29" t="s">
        <v>26</v>
      </c>
      <c r="D25" s="23"/>
      <c r="E25" s="15">
        <v>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4.75"/>
    <col customWidth="1" min="3" max="3" width="21.13"/>
    <col customWidth="1" min="4" max="4" width="18.0"/>
  </cols>
  <sheetData>
    <row r="1" ht="31.5" customHeight="1"/>
    <row r="2" ht="31.5" customHeight="1">
      <c r="A2" s="69"/>
      <c r="B2" s="70"/>
      <c r="C2" s="70"/>
      <c r="D2" s="71"/>
      <c r="E2" s="72"/>
      <c r="F2" s="72"/>
      <c r="G2" s="72"/>
      <c r="H2" s="72"/>
      <c r="I2" s="72"/>
    </row>
    <row r="3" ht="31.5" customHeight="1">
      <c r="A3" s="73" t="s">
        <v>8</v>
      </c>
      <c r="B3" s="73" t="s">
        <v>75</v>
      </c>
      <c r="C3" s="73"/>
      <c r="D3" s="74"/>
      <c r="E3" s="73"/>
      <c r="F3" s="73"/>
      <c r="G3" s="69"/>
      <c r="H3" s="69"/>
      <c r="I3" s="69"/>
      <c r="J3" s="75"/>
      <c r="K3" s="75"/>
    </row>
    <row r="4" ht="31.5" customHeight="1">
      <c r="A4" s="73" t="s">
        <v>76</v>
      </c>
      <c r="B4" s="84">
        <v>0.17</v>
      </c>
      <c r="C4" s="73"/>
      <c r="D4" s="76"/>
      <c r="E4" s="69"/>
      <c r="F4" s="73"/>
      <c r="G4" s="73"/>
      <c r="H4" s="69"/>
      <c r="I4" s="69"/>
      <c r="J4" s="75"/>
      <c r="K4" s="75"/>
    </row>
    <row r="5" ht="31.5" customHeight="1">
      <c r="A5" s="73" t="s">
        <v>77</v>
      </c>
      <c r="B5" s="85">
        <v>0.015</v>
      </c>
      <c r="C5" s="73"/>
      <c r="D5" s="76"/>
      <c r="E5" s="69"/>
      <c r="F5" s="73"/>
      <c r="G5" s="73"/>
      <c r="H5" s="69"/>
      <c r="I5" s="69"/>
      <c r="J5" s="75"/>
      <c r="K5" s="75"/>
    </row>
    <row r="6" ht="31.5" customHeight="1">
      <c r="A6" s="73" t="s">
        <v>78</v>
      </c>
      <c r="B6" s="84">
        <v>0.07</v>
      </c>
      <c r="C6" s="73"/>
      <c r="D6" s="76"/>
      <c r="E6" s="69"/>
      <c r="F6" s="69"/>
      <c r="G6" s="69"/>
      <c r="H6" s="69"/>
      <c r="I6" s="73"/>
      <c r="J6" s="75"/>
      <c r="K6" s="75"/>
    </row>
    <row r="7" ht="31.5" customHeight="1">
      <c r="A7" s="73" t="s">
        <v>79</v>
      </c>
      <c r="B7" s="84">
        <v>0.07</v>
      </c>
      <c r="C7" s="73"/>
      <c r="D7" s="76"/>
      <c r="E7" s="69"/>
      <c r="F7" s="69"/>
      <c r="G7" s="69"/>
      <c r="H7" s="69"/>
      <c r="I7" s="73"/>
      <c r="J7" s="75"/>
      <c r="K7" s="75"/>
    </row>
    <row r="8" ht="31.5" customHeight="1">
      <c r="A8" s="73" t="s">
        <v>41</v>
      </c>
      <c r="B8" s="84">
        <v>0.3</v>
      </c>
      <c r="C8" s="73"/>
      <c r="D8" s="76"/>
      <c r="E8" s="69"/>
      <c r="F8" s="69"/>
      <c r="G8" s="69"/>
      <c r="H8" s="69"/>
      <c r="I8" s="73"/>
      <c r="J8" s="75"/>
      <c r="K8" s="75"/>
    </row>
    <row r="9" ht="31.5" customHeight="1">
      <c r="A9" s="73"/>
      <c r="B9" s="73"/>
      <c r="C9" s="73"/>
      <c r="D9" s="76"/>
      <c r="E9" s="69"/>
      <c r="F9" s="69"/>
      <c r="G9" s="69"/>
      <c r="H9" s="69"/>
      <c r="I9" s="73"/>
      <c r="J9" s="75"/>
      <c r="K9" s="75"/>
    </row>
    <row r="10" ht="31.5" customHeight="1">
      <c r="A10" s="73"/>
      <c r="B10" s="73"/>
      <c r="C10" s="73"/>
      <c r="D10" s="76"/>
      <c r="E10" s="69"/>
      <c r="F10" s="69"/>
      <c r="G10" s="69"/>
      <c r="H10" s="69"/>
      <c r="I10" s="73"/>
      <c r="J10" s="75"/>
      <c r="K10" s="75"/>
    </row>
    <row r="11" ht="31.5" customHeight="1">
      <c r="A11" s="73" t="s">
        <v>9</v>
      </c>
      <c r="B11" s="73">
        <v>1.0</v>
      </c>
      <c r="C11" s="73"/>
      <c r="D11" s="76"/>
      <c r="E11" s="69"/>
      <c r="F11" s="69"/>
      <c r="G11" s="73"/>
      <c r="H11" s="69"/>
      <c r="I11" s="69"/>
      <c r="J11" s="75"/>
      <c r="K11" s="75"/>
    </row>
    <row r="12" ht="31.5" customHeight="1">
      <c r="A12" s="73"/>
      <c r="B12" s="73"/>
      <c r="C12" s="73"/>
      <c r="D12" s="76"/>
      <c r="E12" s="73"/>
      <c r="F12" s="69"/>
      <c r="G12" s="73"/>
      <c r="H12" s="73"/>
      <c r="I12" s="69"/>
      <c r="J12" s="75"/>
      <c r="K12" s="75"/>
    </row>
    <row r="13" ht="31.5" customHeight="1">
      <c r="A13" s="73"/>
      <c r="B13" s="73"/>
      <c r="C13" s="73"/>
      <c r="D13" s="76"/>
      <c r="E13" s="73"/>
      <c r="F13" s="69"/>
      <c r="G13" s="69"/>
      <c r="H13" s="69"/>
      <c r="I13" s="69"/>
      <c r="J13" s="75"/>
      <c r="K13" s="75"/>
    </row>
    <row r="14" ht="31.5" customHeight="1">
      <c r="A14" s="73"/>
      <c r="B14" s="73"/>
      <c r="C14" s="73"/>
      <c r="D14" s="76"/>
      <c r="E14" s="69"/>
      <c r="F14" s="69"/>
      <c r="G14" s="69"/>
      <c r="H14" s="69"/>
      <c r="I14" s="69"/>
      <c r="J14" s="75"/>
      <c r="K14" s="75"/>
    </row>
    <row r="15" ht="31.5" customHeight="1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</row>
  </sheetData>
  <drawing r:id="rId1"/>
</worksheet>
</file>